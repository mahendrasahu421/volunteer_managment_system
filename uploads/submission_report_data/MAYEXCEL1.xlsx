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defaultThemeVersion="124226"/>
  <xr:revisionPtr revIDLastSave="819" documentId="8_{D83612FF-FE0A-4734-B700-009354340F69}" xr6:coauthVersionLast="47" xr6:coauthVersionMax="47" xr10:uidLastSave="{0ED3D2D1-2FD8-4446-B3B8-4BA788294C7E}"/>
  <bookViews>
    <workbookView xWindow="-110" yWindow="-110" windowWidth="19420" windowHeight="11500" firstSheet="1" activeTab="9" xr2:uid="{00000000-000D-0000-FFFF-FFFF00000000}"/>
  </bookViews>
  <sheets>
    <sheet name="PRAGATHI" sheetId="2" r:id="rId1"/>
    <sheet name="SRAMA" sheetId="5" r:id="rId2"/>
    <sheet name="KDDI" sheetId="12" r:id="rId3"/>
    <sheet name="PORD" sheetId="6" r:id="rId4"/>
    <sheet name="AP" sheetId="8" r:id="rId5"/>
    <sheet name="EFFORT KMM" sheetId="7" r:id="rId6"/>
    <sheet name="EFFORT" sheetId="14" r:id="rId7"/>
    <sheet name="MDDI" sheetId="13" r:id="rId8"/>
    <sheet name="TG" sheetId="10" r:id="rId9"/>
    <sheet name="APTG"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 i="11" l="1"/>
  <c r="D42" i="11"/>
  <c r="C42" i="11"/>
  <c r="E6" i="10" l="1"/>
  <c r="E7" i="10"/>
  <c r="E8" i="10"/>
  <c r="E9" i="10"/>
  <c r="E10" i="10"/>
  <c r="E11" i="10"/>
  <c r="E13" i="10"/>
  <c r="E14" i="10"/>
  <c r="E15" i="10"/>
  <c r="E16" i="10"/>
  <c r="E17" i="10"/>
  <c r="E18" i="10"/>
  <c r="E19" i="10"/>
  <c r="E20" i="10"/>
  <c r="E21" i="10"/>
  <c r="E22" i="10"/>
  <c r="E23" i="10"/>
  <c r="E24" i="10"/>
  <c r="E25" i="10"/>
  <c r="E26" i="10"/>
  <c r="E28" i="10"/>
  <c r="E29" i="10"/>
  <c r="E30" i="10"/>
  <c r="E31" i="10"/>
  <c r="E32" i="10"/>
  <c r="E33" i="10"/>
  <c r="E34" i="10"/>
  <c r="E35" i="10"/>
  <c r="E36" i="10"/>
  <c r="E37" i="10"/>
  <c r="E38" i="10"/>
  <c r="E39" i="10"/>
  <c r="E40" i="10"/>
  <c r="E41" i="10"/>
  <c r="E42" i="10"/>
  <c r="E44" i="10"/>
  <c r="E45" i="10"/>
  <c r="E46" i="10"/>
  <c r="E47" i="10"/>
  <c r="E48" i="10"/>
  <c r="E49" i="10"/>
  <c r="E50" i="10"/>
  <c r="E51" i="10"/>
  <c r="E52" i="10"/>
  <c r="E54" i="10"/>
  <c r="E56" i="10"/>
  <c r="F56" i="10" s="1"/>
  <c r="E57" i="10"/>
  <c r="F57" i="10" s="1"/>
  <c r="E58" i="10"/>
  <c r="E59" i="10"/>
  <c r="E5" i="10"/>
  <c r="F69" i="10"/>
  <c r="F68" i="10"/>
  <c r="F67" i="10"/>
  <c r="F66" i="10"/>
  <c r="F65" i="10"/>
  <c r="F64" i="10"/>
  <c r="F63" i="10"/>
  <c r="F62" i="10"/>
  <c r="F61" i="10"/>
  <c r="E62" i="10"/>
  <c r="E63" i="10"/>
  <c r="E64" i="10"/>
  <c r="E65" i="10"/>
  <c r="E66" i="10"/>
  <c r="E67" i="10"/>
  <c r="E68" i="10"/>
  <c r="E69" i="10"/>
  <c r="E61" i="10"/>
  <c r="D62" i="10"/>
  <c r="D63" i="10"/>
  <c r="D64" i="10"/>
  <c r="D65" i="10"/>
  <c r="D66" i="10"/>
  <c r="D67" i="10"/>
  <c r="D68" i="10"/>
  <c r="D69" i="10"/>
  <c r="D61" i="10"/>
  <c r="C62" i="10"/>
  <c r="C63" i="10"/>
  <c r="C64" i="10"/>
  <c r="C65" i="10"/>
  <c r="C66" i="10"/>
  <c r="C67" i="10"/>
  <c r="C68" i="10"/>
  <c r="C69" i="10"/>
  <c r="C61" i="10"/>
  <c r="D6" i="10" l="1"/>
  <c r="D7" i="10"/>
  <c r="D8" i="10"/>
  <c r="D9" i="10"/>
  <c r="D10" i="10"/>
  <c r="D11" i="10"/>
  <c r="D13" i="10"/>
  <c r="D14" i="10"/>
  <c r="D15" i="10"/>
  <c r="D16" i="10"/>
  <c r="D17" i="10"/>
  <c r="D18" i="10"/>
  <c r="D19" i="10"/>
  <c r="D20" i="10"/>
  <c r="D21" i="10"/>
  <c r="D22" i="10"/>
  <c r="D23" i="10"/>
  <c r="D24" i="10"/>
  <c r="D25" i="10"/>
  <c r="D26" i="10"/>
  <c r="D28" i="10"/>
  <c r="D29" i="10"/>
  <c r="D30" i="10"/>
  <c r="D31" i="10"/>
  <c r="D32" i="10"/>
  <c r="D33" i="10"/>
  <c r="D34" i="10"/>
  <c r="D35" i="10"/>
  <c r="D36" i="10"/>
  <c r="D37" i="10"/>
  <c r="D38" i="10"/>
  <c r="D39" i="10"/>
  <c r="D40" i="10"/>
  <c r="D41" i="10"/>
  <c r="D42" i="10"/>
  <c r="D44" i="10"/>
  <c r="D45" i="10"/>
  <c r="D46" i="10"/>
  <c r="D47" i="10"/>
  <c r="D48" i="10"/>
  <c r="D49" i="10"/>
  <c r="D50" i="10"/>
  <c r="D51" i="10"/>
  <c r="D52" i="10"/>
  <c r="D54" i="10"/>
  <c r="D56" i="10"/>
  <c r="D57" i="10"/>
  <c r="D5" i="10"/>
  <c r="E69" i="14"/>
  <c r="E68" i="14"/>
  <c r="E67" i="14"/>
  <c r="E66" i="14"/>
  <c r="E65" i="14"/>
  <c r="E64" i="14"/>
  <c r="E63" i="14"/>
  <c r="E62" i="14"/>
  <c r="E61" i="14"/>
  <c r="F45" i="8" l="1"/>
  <c r="F46" i="8"/>
  <c r="F47" i="8"/>
  <c r="F48" i="8"/>
  <c r="F49" i="8"/>
  <c r="F50" i="8"/>
  <c r="F51" i="8"/>
  <c r="F52" i="8"/>
  <c r="F29" i="8"/>
  <c r="F30" i="8"/>
  <c r="F31" i="8"/>
  <c r="F32" i="8"/>
  <c r="F33" i="8"/>
  <c r="F34" i="8"/>
  <c r="F35" i="8"/>
  <c r="F36" i="8"/>
  <c r="F37" i="8"/>
  <c r="F38" i="8"/>
  <c r="F39" i="8"/>
  <c r="F40" i="8"/>
  <c r="F41" i="8"/>
  <c r="F42" i="8"/>
  <c r="F14" i="8"/>
  <c r="F15" i="8"/>
  <c r="F16" i="8"/>
  <c r="F17" i="8"/>
  <c r="F18" i="8"/>
  <c r="F19" i="8"/>
  <c r="F20" i="8"/>
  <c r="F21" i="8"/>
  <c r="F22" i="8"/>
  <c r="F23" i="8"/>
  <c r="F24" i="8"/>
  <c r="F25" i="8"/>
  <c r="F26" i="8"/>
  <c r="F6" i="8"/>
  <c r="F7" i="8"/>
  <c r="F8" i="8"/>
  <c r="F9" i="8"/>
  <c r="F10" i="8"/>
  <c r="F11" i="8"/>
  <c r="E45" i="8"/>
  <c r="E46" i="8"/>
  <c r="E47" i="8"/>
  <c r="E48" i="8"/>
  <c r="E49" i="8"/>
  <c r="E50" i="8"/>
  <c r="E51" i="8"/>
  <c r="E52" i="8"/>
  <c r="E29" i="8"/>
  <c r="E30" i="8"/>
  <c r="E31" i="8"/>
  <c r="E32" i="8"/>
  <c r="E33" i="8"/>
  <c r="E34" i="8"/>
  <c r="E35" i="8"/>
  <c r="E36" i="8"/>
  <c r="E37" i="8"/>
  <c r="E38" i="8"/>
  <c r="E39" i="8"/>
  <c r="E40" i="8"/>
  <c r="E41" i="8"/>
  <c r="E42" i="8"/>
  <c r="E14" i="8"/>
  <c r="E15" i="8"/>
  <c r="E16" i="8"/>
  <c r="E17" i="8"/>
  <c r="E18" i="8"/>
  <c r="E19" i="8"/>
  <c r="E20" i="8"/>
  <c r="E21" i="8"/>
  <c r="E22" i="8"/>
  <c r="E23" i="8"/>
  <c r="E24" i="8"/>
  <c r="E25" i="8"/>
  <c r="E26" i="8"/>
  <c r="E5" i="8"/>
  <c r="E6" i="8"/>
  <c r="E7" i="8"/>
  <c r="E8" i="8"/>
  <c r="E9" i="8"/>
  <c r="E10" i="8"/>
  <c r="E11" i="8"/>
  <c r="D6" i="8"/>
  <c r="D7" i="8"/>
  <c r="D8" i="8"/>
  <c r="D9" i="8"/>
  <c r="D10" i="8"/>
  <c r="D11" i="8"/>
  <c r="D13" i="8"/>
  <c r="D14" i="8"/>
  <c r="D15" i="8"/>
  <c r="D16" i="8"/>
  <c r="D17" i="8"/>
  <c r="D18" i="8"/>
  <c r="D19" i="8"/>
  <c r="D20" i="8"/>
  <c r="D21" i="8"/>
  <c r="D22" i="8"/>
  <c r="D23" i="8"/>
  <c r="D24" i="8"/>
  <c r="D25" i="8"/>
  <c r="D26" i="8"/>
  <c r="D28" i="8"/>
  <c r="D29" i="8"/>
  <c r="D30" i="8"/>
  <c r="D31" i="8"/>
  <c r="D32" i="8"/>
  <c r="D33" i="8"/>
  <c r="D34" i="8"/>
  <c r="D35" i="8"/>
  <c r="D36" i="8"/>
  <c r="D37" i="8"/>
  <c r="D38" i="8"/>
  <c r="D39" i="8"/>
  <c r="D40" i="8"/>
  <c r="D41" i="8"/>
  <c r="D42" i="8"/>
  <c r="D44" i="8"/>
  <c r="D45" i="8"/>
  <c r="D46" i="8"/>
  <c r="D47" i="8"/>
  <c r="D48" i="8"/>
  <c r="D49" i="8"/>
  <c r="D50" i="8"/>
  <c r="D51" i="8"/>
  <c r="D52" i="8"/>
  <c r="D54" i="8"/>
  <c r="D56" i="8"/>
  <c r="D57" i="8"/>
  <c r="C45" i="8"/>
  <c r="C46" i="8"/>
  <c r="C47" i="8"/>
  <c r="C48" i="8"/>
  <c r="C49" i="8"/>
  <c r="C50" i="8"/>
  <c r="C51" i="8"/>
  <c r="C52" i="8"/>
  <c r="C29" i="8"/>
  <c r="C30" i="8"/>
  <c r="C31" i="8"/>
  <c r="C32" i="8"/>
  <c r="C33" i="8"/>
  <c r="C34" i="8"/>
  <c r="C35" i="8"/>
  <c r="C36" i="8"/>
  <c r="C37" i="8"/>
  <c r="C38" i="8"/>
  <c r="C39" i="8"/>
  <c r="C40" i="8"/>
  <c r="C41" i="8"/>
  <c r="C42" i="8"/>
  <c r="C14" i="8"/>
  <c r="C15" i="8"/>
  <c r="C16" i="8"/>
  <c r="C17" i="8"/>
  <c r="C18" i="8"/>
  <c r="C19" i="8"/>
  <c r="C20" i="8"/>
  <c r="C21" i="8"/>
  <c r="C22" i="8"/>
  <c r="C23" i="8"/>
  <c r="C24" i="8"/>
  <c r="C25" i="8"/>
  <c r="C26" i="8"/>
  <c r="C6" i="8"/>
  <c r="C7" i="8"/>
  <c r="C8" i="8"/>
  <c r="C9" i="8"/>
  <c r="C10" i="8"/>
  <c r="C11" i="8"/>
  <c r="C54" i="10"/>
  <c r="F54" i="10" s="1"/>
  <c r="D54" i="11" s="1"/>
  <c r="D14" i="11"/>
  <c r="D30" i="11"/>
  <c r="D31" i="11"/>
  <c r="D32" i="11"/>
  <c r="D48" i="11"/>
  <c r="D49" i="11"/>
  <c r="D50" i="11"/>
  <c r="D51" i="11"/>
  <c r="D52" i="11"/>
  <c r="D57" i="11"/>
  <c r="C57" i="10"/>
  <c r="C56" i="10"/>
  <c r="D56" i="11" s="1"/>
  <c r="C45" i="10"/>
  <c r="C46" i="10"/>
  <c r="C47" i="10"/>
  <c r="C48" i="10"/>
  <c r="C49" i="10"/>
  <c r="C50" i="10"/>
  <c r="C51" i="10"/>
  <c r="C52" i="10"/>
  <c r="C44" i="10"/>
  <c r="C29" i="10"/>
  <c r="C30" i="10"/>
  <c r="C31" i="10"/>
  <c r="C32" i="10"/>
  <c r="F32" i="10" s="1"/>
  <c r="C33" i="10"/>
  <c r="F33" i="10" s="1"/>
  <c r="D33" i="11" s="1"/>
  <c r="C34" i="10"/>
  <c r="C35" i="10"/>
  <c r="C36" i="10"/>
  <c r="C37" i="10"/>
  <c r="F37" i="10" s="1"/>
  <c r="D37" i="11" s="1"/>
  <c r="C38" i="10"/>
  <c r="F38" i="10" s="1"/>
  <c r="D38" i="11" s="1"/>
  <c r="C39" i="10"/>
  <c r="F39" i="10" s="1"/>
  <c r="D39" i="11" s="1"/>
  <c r="C40" i="10"/>
  <c r="F40" i="10" s="1"/>
  <c r="D40" i="11" s="1"/>
  <c r="C41" i="10"/>
  <c r="F41" i="10" s="1"/>
  <c r="D41" i="11" s="1"/>
  <c r="C42" i="10"/>
  <c r="F42" i="10" s="1"/>
  <c r="C28" i="10"/>
  <c r="C14" i="10"/>
  <c r="C15" i="10"/>
  <c r="C16" i="10"/>
  <c r="C17" i="10"/>
  <c r="F17" i="10" s="1"/>
  <c r="D17" i="11" s="1"/>
  <c r="C18" i="10"/>
  <c r="F18" i="10" s="1"/>
  <c r="D18" i="11" s="1"/>
  <c r="C19" i="10"/>
  <c r="F19" i="10" s="1"/>
  <c r="D19" i="11" s="1"/>
  <c r="C20" i="10"/>
  <c r="F20" i="10" s="1"/>
  <c r="D20" i="11" s="1"/>
  <c r="C21" i="10"/>
  <c r="F21" i="10" s="1"/>
  <c r="D21" i="11" s="1"/>
  <c r="C22" i="10"/>
  <c r="F22" i="10" s="1"/>
  <c r="D22" i="11" s="1"/>
  <c r="C23" i="10"/>
  <c r="C24" i="10"/>
  <c r="C25" i="10"/>
  <c r="C26" i="10"/>
  <c r="C13" i="10"/>
  <c r="C6" i="10"/>
  <c r="F6" i="10" s="1"/>
  <c r="D6" i="11" s="1"/>
  <c r="C7" i="10"/>
  <c r="F7" i="10" s="1"/>
  <c r="D7" i="11" s="1"/>
  <c r="C8" i="10"/>
  <c r="F8" i="10" s="1"/>
  <c r="D8" i="11" s="1"/>
  <c r="C9" i="10"/>
  <c r="F9" i="10" s="1"/>
  <c r="D9" i="11" s="1"/>
  <c r="C10" i="10"/>
  <c r="F10" i="10" s="1"/>
  <c r="D10" i="11" s="1"/>
  <c r="C11" i="10"/>
  <c r="F11" i="10" s="1"/>
  <c r="D11" i="11" s="1"/>
  <c r="C5" i="10"/>
  <c r="F29" i="7"/>
  <c r="F30" i="7"/>
  <c r="F31" i="7"/>
  <c r="F32" i="7"/>
  <c r="F33" i="7"/>
  <c r="F34" i="7"/>
  <c r="F35" i="7"/>
  <c r="F36" i="7"/>
  <c r="F37" i="7"/>
  <c r="F38" i="7"/>
  <c r="F39" i="7"/>
  <c r="F40" i="7"/>
  <c r="F41" i="7"/>
  <c r="F28" i="7"/>
  <c r="F6" i="7"/>
  <c r="F7" i="7"/>
  <c r="F8" i="7"/>
  <c r="F9" i="7"/>
  <c r="F10" i="7"/>
  <c r="F11" i="7"/>
  <c r="F5" i="7"/>
  <c r="F48" i="10"/>
  <c r="F49" i="10"/>
  <c r="F50" i="10"/>
  <c r="F51" i="10"/>
  <c r="F52" i="10"/>
  <c r="F14" i="10"/>
  <c r="F15" i="10"/>
  <c r="D15" i="11" s="1"/>
  <c r="F16" i="10"/>
  <c r="D16" i="11" s="1"/>
  <c r="F23" i="10"/>
  <c r="D23" i="11" s="1"/>
  <c r="F24" i="10"/>
  <c r="D24" i="11" s="1"/>
  <c r="F25" i="10"/>
  <c r="D25" i="11" s="1"/>
  <c r="F26" i="10"/>
  <c r="D26" i="11" s="1"/>
  <c r="F28" i="10"/>
  <c r="D28" i="11" s="1"/>
  <c r="F29" i="10"/>
  <c r="D29" i="11" s="1"/>
  <c r="F30" i="10"/>
  <c r="F31" i="10"/>
  <c r="F13" i="10"/>
  <c r="D13" i="11" s="1"/>
  <c r="F5" i="10"/>
  <c r="D5" i="11" s="1"/>
  <c r="F34" i="10"/>
  <c r="D34" i="11" s="1"/>
  <c r="F35" i="10"/>
  <c r="D35" i="11" s="1"/>
  <c r="F36" i="10"/>
  <c r="D36" i="11" s="1"/>
  <c r="F44" i="10"/>
  <c r="D44" i="11" s="1"/>
  <c r="F45" i="10"/>
  <c r="D45" i="11" s="1"/>
  <c r="F46" i="10"/>
  <c r="D46" i="11" s="1"/>
  <c r="F47" i="10"/>
  <c r="D47" i="11" s="1"/>
  <c r="E57" i="8"/>
  <c r="E56" i="8"/>
  <c r="E54" i="8"/>
  <c r="E44" i="8"/>
  <c r="E28" i="8"/>
  <c r="E13" i="8"/>
  <c r="F57" i="8" l="1"/>
  <c r="F56" i="8"/>
  <c r="C57" i="8"/>
  <c r="C56" i="8"/>
  <c r="F54" i="8"/>
  <c r="C54" i="8"/>
  <c r="G45" i="8"/>
  <c r="F44" i="8"/>
  <c r="C44" i="8"/>
  <c r="G57" i="8"/>
  <c r="C57" i="11" s="1"/>
  <c r="E57" i="11" s="1"/>
  <c r="G50" i="8"/>
  <c r="C50" i="11" s="1"/>
  <c r="E50" i="11" s="1"/>
  <c r="F28" i="8"/>
  <c r="C28" i="8"/>
  <c r="F13" i="8"/>
  <c r="C13" i="8"/>
  <c r="F5" i="8"/>
  <c r="D5" i="8"/>
  <c r="C5" i="8"/>
  <c r="C8" i="6"/>
  <c r="G13" i="8" l="1"/>
  <c r="C13" i="11" s="1"/>
  <c r="E13" i="11" s="1"/>
  <c r="G47" i="8"/>
  <c r="C47" i="11" s="1"/>
  <c r="E47" i="11" s="1"/>
  <c r="G54" i="8"/>
  <c r="C54" i="11" s="1"/>
  <c r="E54" i="11" s="1"/>
  <c r="G56" i="8"/>
  <c r="C56" i="11" s="1"/>
  <c r="E56" i="11" s="1"/>
  <c r="G51" i="8"/>
  <c r="C51" i="11" s="1"/>
  <c r="E51" i="11" s="1"/>
  <c r="G49" i="8"/>
  <c r="C49" i="11" s="1"/>
  <c r="E49" i="11" s="1"/>
  <c r="G44" i="8"/>
  <c r="C44" i="11" s="1"/>
  <c r="E44" i="11" s="1"/>
  <c r="G33" i="8"/>
  <c r="C33" i="11" s="1"/>
  <c r="E33" i="11" s="1"/>
  <c r="G36" i="8"/>
  <c r="C36" i="11" s="1"/>
  <c r="E36" i="11" s="1"/>
  <c r="G41" i="8"/>
  <c r="C41" i="11" s="1"/>
  <c r="E41" i="11" s="1"/>
  <c r="G8" i="8"/>
  <c r="C8" i="11" s="1"/>
  <c r="E8" i="11" s="1"/>
  <c r="G23" i="8"/>
  <c r="C23" i="11" s="1"/>
  <c r="E23" i="11" s="1"/>
  <c r="G37" i="8"/>
  <c r="C37" i="11" s="1"/>
  <c r="E37" i="11" s="1"/>
  <c r="G42" i="8"/>
  <c r="G28" i="8"/>
  <c r="C28" i="11" s="1"/>
  <c r="E28" i="11" s="1"/>
  <c r="G29" i="8"/>
  <c r="C29" i="11" s="1"/>
  <c r="E29" i="11" s="1"/>
  <c r="G46" i="8"/>
  <c r="C46" i="11" s="1"/>
  <c r="E46" i="11" s="1"/>
  <c r="G52" i="8"/>
  <c r="C52" i="11" s="1"/>
  <c r="E52" i="11" s="1"/>
  <c r="G34" i="8"/>
  <c r="C34" i="11" s="1"/>
  <c r="E34" i="11" s="1"/>
  <c r="G48" i="8"/>
  <c r="C48" i="11" s="1"/>
  <c r="E48" i="11" s="1"/>
  <c r="G6" i="8"/>
  <c r="C6" i="11" s="1"/>
  <c r="E6" i="11" s="1"/>
  <c r="G38" i="8"/>
  <c r="C38" i="11" s="1"/>
  <c r="E38" i="11" s="1"/>
  <c r="G11" i="8"/>
  <c r="C11" i="11" s="1"/>
  <c r="E11" i="11" s="1"/>
  <c r="G24" i="8"/>
  <c r="C24" i="11" s="1"/>
  <c r="E24" i="11" s="1"/>
  <c r="G5" i="8"/>
  <c r="C5" i="11" s="1"/>
  <c r="E5" i="11" s="1"/>
  <c r="G25" i="8"/>
  <c r="C25" i="11" s="1"/>
  <c r="E25" i="11" s="1"/>
  <c r="G26" i="8"/>
  <c r="C26" i="11" s="1"/>
  <c r="E26" i="11" s="1"/>
  <c r="G31" i="8"/>
  <c r="C31" i="11" s="1"/>
  <c r="E31" i="11" s="1"/>
  <c r="G21" i="8"/>
  <c r="C21" i="11" s="1"/>
  <c r="E21" i="11" s="1"/>
  <c r="G9" i="8"/>
  <c r="C9" i="11" s="1"/>
  <c r="E9" i="11" s="1"/>
  <c r="G40" i="8"/>
  <c r="C40" i="11" s="1"/>
  <c r="E40" i="11" s="1"/>
  <c r="G32" i="8"/>
  <c r="C32" i="11" s="1"/>
  <c r="E32" i="11" s="1"/>
  <c r="G39" i="8"/>
  <c r="C39" i="11" s="1"/>
  <c r="E39" i="11" s="1"/>
  <c r="G19" i="8"/>
  <c r="C19" i="11" s="1"/>
  <c r="E19" i="11" s="1"/>
  <c r="G20" i="8"/>
  <c r="C20" i="11" s="1"/>
  <c r="E20" i="11" s="1"/>
  <c r="G35" i="8"/>
  <c r="C35" i="11" s="1"/>
  <c r="E35" i="11" s="1"/>
  <c r="G30" i="8"/>
  <c r="C30" i="11" s="1"/>
  <c r="E30" i="11" s="1"/>
  <c r="G10" i="8"/>
  <c r="C10" i="11" s="1"/>
  <c r="E10" i="11" s="1"/>
  <c r="G22" i="8"/>
  <c r="C22" i="11" s="1"/>
  <c r="E22" i="11" s="1"/>
  <c r="G14" i="8"/>
  <c r="C14" i="11" s="1"/>
  <c r="E14" i="11" s="1"/>
  <c r="G18" i="8"/>
  <c r="C18" i="11" s="1"/>
  <c r="E18" i="11" s="1"/>
  <c r="G15" i="8"/>
  <c r="C15" i="11" s="1"/>
  <c r="E15" i="11" s="1"/>
  <c r="G17" i="8"/>
  <c r="C17" i="11" s="1"/>
  <c r="E17" i="11" s="1"/>
  <c r="G16" i="8"/>
  <c r="C16" i="11" s="1"/>
  <c r="E16" i="11" s="1"/>
  <c r="G7" i="8"/>
  <c r="C7" i="11" s="1"/>
  <c r="E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5" authorId="0" shapeId="0" xr:uid="{E42C0CE2-A924-42CC-BB54-A91E11BD8B22}">
      <text/>
    </comment>
    <comment ref="C6" authorId="0" shapeId="0" xr:uid="{261FC72A-9849-4875-BE42-D5E872C18078}">
      <text/>
    </comment>
    <comment ref="C7" authorId="0" shapeId="0" xr:uid="{42F4EF0C-9551-4F80-929F-0F871A4D8234}">
      <text/>
    </comment>
    <comment ref="C8" authorId="0" shapeId="0" xr:uid="{787E0452-AD86-4E73-BFD6-0ED1A119ED25}">
      <text>
        <r>
          <rPr>
            <sz val="11"/>
            <color theme="1"/>
            <rFont val="Calibri"/>
            <family val="2"/>
            <scheme val="minor"/>
          </rPr>
          <t xml:space="preserve">4 (2+2) children failed in the tenth grade, and 29 (13+16) children failed in the intermediate second year. </t>
        </r>
      </text>
    </comment>
    <comment ref="C15" authorId="0" shapeId="0" xr:uid="{D146CEC7-9E7F-4AB7-986B-D925FCF1053C}">
      <text/>
    </comment>
    <comment ref="C16" authorId="0" shapeId="0" xr:uid="{2E74A2FE-B2DE-44AA-8AE6-0DD8BB9DF8D4}">
      <text/>
    </comment>
    <comment ref="C18" authorId="0" shapeId="0" xr:uid="{3F76C15E-DF96-4463-A44B-04EAC787B2B9}">
      <text/>
    </comment>
    <comment ref="C22" authorId="0" shapeId="0" xr:uid="{09DAA26E-0B9A-4F5B-86DC-7D4E4CEBBD70}">
      <text/>
    </comment>
    <comment ref="C25" authorId="0" shapeId="0" xr:uid="{DBE945C8-4C97-4593-8822-536AB2AC2186}">
      <text>
        <r>
          <rPr>
            <b/>
            <sz val="9"/>
            <color indexed="81"/>
            <rFont val="Tahoma"/>
            <family val="2"/>
          </rPr>
          <t>3 boys, 2 girl</t>
        </r>
      </text>
    </comment>
    <comment ref="C28" authorId="0" shapeId="0" xr:uid="{2A2C3228-4AA2-494C-A0E6-01D6D7055436}">
      <text/>
    </comment>
    <comment ref="C29" authorId="0" shapeId="0" xr:uid="{1A879543-2FF3-4E3A-BAED-F836EAB4B974}">
      <text/>
    </comment>
    <comment ref="C31" authorId="0" shapeId="0" xr:uid="{8FADD157-B5F1-45B6-A7EE-BD3C20684DC8}">
      <text/>
    </comment>
    <comment ref="C32" authorId="0" shapeId="0" xr:uid="{530C780D-F1EA-4B96-9589-64B6E7A907C2}">
      <text/>
    </comment>
    <comment ref="C33" authorId="0" shapeId="0" xr:uid="{C4880ADA-1C3C-4B0C-A7D6-274184AAADD8}">
      <text>
        <r>
          <rPr>
            <sz val="11"/>
            <color theme="1"/>
            <rFont val="Calibri"/>
            <family val="2"/>
            <scheme val="minor"/>
          </rPr>
          <t>0</t>
        </r>
      </text>
    </comment>
    <comment ref="C34" authorId="0" shapeId="0" xr:uid="{99817771-60D4-4C95-9578-74EE3D9734DA}">
      <text/>
    </comment>
    <comment ref="C35" authorId="0" shapeId="0" xr:uid="{F6189B25-66EF-4841-A33C-B5C525C31BC4}">
      <text>
        <r>
          <rPr>
            <b/>
            <sz val="9"/>
            <color indexed="81"/>
            <rFont val="Tahoma"/>
            <family val="2"/>
          </rPr>
          <t>boys 5, Girls 12.</t>
        </r>
      </text>
    </comment>
    <comment ref="C40" authorId="0" shapeId="0" xr:uid="{03435AF9-1357-4B96-8532-FE202300A7C2}">
      <text/>
    </comment>
    <comment ref="C42" authorId="0" shapeId="0" xr:uid="{9E8F081D-9876-49AA-A84E-6D8B4CC467D1}">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5" authorId="0" shapeId="0" xr:uid="{C5030827-A803-48EC-8573-FF820448D1B0}">
      <text/>
    </comment>
    <comment ref="D6" authorId="0" shapeId="0" xr:uid="{0D7318AF-0A81-4929-9BCD-38155A86727E}">
      <text/>
    </comment>
    <comment ref="D7" authorId="0" shapeId="0" xr:uid="{30EC4F1E-665F-4160-93DB-39513125D423}">
      <text/>
    </comment>
    <comment ref="D8" authorId="0" shapeId="0" xr:uid="{835D621C-44D5-422B-A89C-983DC885F4B5}">
      <text/>
    </comment>
    <comment ref="D15" authorId="0" shapeId="0" xr:uid="{E94EEFD2-5F21-4E84-A58F-9A7E16D55D06}">
      <text/>
    </comment>
    <comment ref="D16" authorId="0" shapeId="0" xr:uid="{C9342106-01C2-4332-8C5D-8E75454E6A95}">
      <text/>
    </comment>
    <comment ref="D18" authorId="0" shapeId="0" xr:uid="{15FBE733-0BB8-4B3A-B884-E9183C4A7EAC}">
      <text/>
    </comment>
    <comment ref="D22" authorId="0" shapeId="0" xr:uid="{451599FA-DA06-4C0A-9EFC-4CFE76187496}">
      <text/>
    </comment>
    <comment ref="D25" authorId="0" shapeId="0" xr:uid="{06AC29B0-214C-4C54-ADD2-EDE9723EA2EA}">
      <text>
        <r>
          <rPr>
            <sz val="11"/>
            <color theme="1"/>
            <rFont val="Calibri"/>
            <family val="2"/>
            <scheme val="minor"/>
          </rPr>
          <t>5 childrens boys, 3children girls.</t>
        </r>
      </text>
    </comment>
    <comment ref="D28" authorId="0" shapeId="0" xr:uid="{9223479A-E03A-4613-BD61-88C8AFED5DE1}">
      <text/>
    </comment>
    <comment ref="D29" authorId="0" shapeId="0" xr:uid="{A79889CE-5F5C-497F-86DE-E32B2F542D51}">
      <text/>
    </comment>
    <comment ref="D31" authorId="0" shapeId="0" xr:uid="{3DF0558C-FD77-4760-AB41-3EDB92C9699C}">
      <text/>
    </comment>
    <comment ref="D32" authorId="0" shapeId="0" xr:uid="{1B238139-076D-4E6D-8867-0279DCF21F38}">
      <text/>
    </comment>
    <comment ref="D33" authorId="0" shapeId="0" xr:uid="{BBDA29A5-991C-42C8-A9C6-C6105E326E14}">
      <text>
        <r>
          <rPr>
            <sz val="11"/>
            <color theme="1"/>
            <rFont val="Calibri"/>
            <family val="2"/>
            <scheme val="minor"/>
          </rPr>
          <t>0</t>
        </r>
      </text>
    </comment>
    <comment ref="D34" authorId="0" shapeId="0" xr:uid="{9269F9C6-CB20-489B-B124-97D559D9B6C0}">
      <text/>
    </comment>
    <comment ref="D40" authorId="0" shapeId="0" xr:uid="{93220703-3BB3-44BB-B012-BA232DBAD8C2}">
      <text/>
    </comment>
    <comment ref="D42" authorId="0" shapeId="0" xr:uid="{63A4D35D-47D9-4FC7-98E7-50D45377CAA1}">
      <text/>
    </comment>
  </commentList>
</comments>
</file>

<file path=xl/sharedStrings.xml><?xml version="1.0" encoding="utf-8"?>
<sst xmlns="http://schemas.openxmlformats.org/spreadsheetml/2006/main" count="715" uniqueCount="198">
  <si>
    <t>Sl. No.</t>
  </si>
  <si>
    <t>Indicator</t>
  </si>
  <si>
    <t>Education:</t>
  </si>
  <si>
    <t>Number of children received education scholarship</t>
  </si>
  <si>
    <t>Number of children appeared for Instant or Supplementary exams (10th and Intermediate)</t>
  </si>
  <si>
    <t>Number of children received "Transport Allowance" to attend the school</t>
  </si>
  <si>
    <t>Number of children provided with "free bus pass"</t>
  </si>
  <si>
    <t>School-related indicators:</t>
  </si>
  <si>
    <t>Number of schools where additional teachers were appointed</t>
  </si>
  <si>
    <t>Number of additional teachers appointed</t>
  </si>
  <si>
    <t>Number of schools where new class-rooms were constructed</t>
  </si>
  <si>
    <t>Number of schools where new toilets are constructed</t>
  </si>
  <si>
    <t>Number of schools where drinking water facilities was created within the premises</t>
  </si>
  <si>
    <t>Number of schools where new kitchen shed was constructed</t>
  </si>
  <si>
    <t>Number of schools where new ramp was constructed</t>
  </si>
  <si>
    <t>Number of schools where play ground facility was created</t>
  </si>
  <si>
    <t>Number of schools prevented from closure</t>
  </si>
  <si>
    <t>Number of schools upgraded</t>
  </si>
  <si>
    <t>Number of schools where class upgradation happened</t>
  </si>
  <si>
    <t>Number of ICDS centres which got new buildings (own)</t>
  </si>
  <si>
    <t>Number of children admitted into Pre-school of Anganwadi</t>
  </si>
  <si>
    <t>Protection:</t>
  </si>
  <si>
    <t>Number of Birth Certificates issued to 0-1 year children</t>
  </si>
  <si>
    <t>Number of Caste Certificates issued to children</t>
  </si>
  <si>
    <t>Number of AADHAR cards issued to children</t>
  </si>
  <si>
    <t>Number of Child Protection Committees formed at Village-level (under ICPS)</t>
  </si>
  <si>
    <t>Number of child marriages stopped</t>
  </si>
  <si>
    <t>Participation:</t>
  </si>
  <si>
    <t>Number of Child Collective meetings conducted</t>
  </si>
  <si>
    <t>Family-level:</t>
  </si>
  <si>
    <t>Parents covered under family-level counseling on Child Labour / Child Marriage issue</t>
  </si>
  <si>
    <t>Advocacy / Media Advocacy:</t>
  </si>
  <si>
    <t>Number of children received free bicycles from the government</t>
  </si>
  <si>
    <t xml:space="preserve">No of other Trainings conducted at CC meetinsgs </t>
  </si>
  <si>
    <t xml:space="preserve">Number of AGC meetings conducted </t>
  </si>
  <si>
    <t xml:space="preserve">No of requisitions submitted to Govt Officials </t>
  </si>
  <si>
    <t xml:space="preserve">No of advocacy related media articles/ coverage </t>
  </si>
  <si>
    <t xml:space="preserve">No. of VCPC Meetings Conducted in the existing Committees </t>
  </si>
  <si>
    <t xml:space="preserve">No of CBO/ Parents/ SMC meetings conducted </t>
  </si>
  <si>
    <t>Number of child marriages averted</t>
  </si>
  <si>
    <t xml:space="preserve">No . Of CCs Life skills sessions conducted in operational area </t>
  </si>
  <si>
    <t>Number of children participated in the Life skills session</t>
  </si>
  <si>
    <t xml:space="preserve">Number of CL rescued with the support from the Police and Labour Departments </t>
  </si>
  <si>
    <t>Number of Child Marriages Stopped But happened</t>
  </si>
  <si>
    <t>Number of dropout mainstreamed(6-14 years )</t>
  </si>
  <si>
    <t xml:space="preserve">Numbe of Dropout Mainstreamed (15-18 years ) </t>
  </si>
  <si>
    <t>Number of child labour mainstreamed(6-14)</t>
  </si>
  <si>
    <t>Number of CL manstreamed (15-18)</t>
  </si>
  <si>
    <t>Number of New CL identified (6-14)</t>
  </si>
  <si>
    <t>Number of New CL identified (15-18)</t>
  </si>
  <si>
    <t>No of CL removed from work using Couselling, home visits, through the support of CBOs, VCPCs PRIs etc. (6-14 Years )</t>
  </si>
  <si>
    <t>No of CL removed from work using Couselling, home visits, through the support of CBOs, VCPCs PRIs etc. (15-18 Years )</t>
  </si>
  <si>
    <t>Number of topics from Life skills modules conducted for Child Collective members</t>
  </si>
  <si>
    <t>Number of New adolescent girls' groups formed</t>
  </si>
  <si>
    <t xml:space="preserve">Number of Adolescent girls Participated in Menstrual Hygeine Management Sessions </t>
  </si>
  <si>
    <t xml:space="preserve">Number of Sessions on  Menstrual Hygeine Management  Conducted (Puberty) </t>
  </si>
  <si>
    <t>PRAGATHI, Tirupati</t>
  </si>
  <si>
    <t>Different Thinking Patterns-Flexible</t>
  </si>
  <si>
    <t>M</t>
  </si>
  <si>
    <t>F</t>
  </si>
  <si>
    <t>Boys-52, Girls-50</t>
  </si>
  <si>
    <t xml:space="preserve">Kandadu, Chelluru, MD Puttur, RV Kandriga, Chennampalli, </t>
  </si>
  <si>
    <t>Parents modules, VCPC Meeting,Kishori Vikasam (2), aadhar cards</t>
  </si>
  <si>
    <t>Bus Facilities, Birth Certificates, adhaar cards, Child labour data to divisional labour officer .Requisition to Collector , DT on birth certificates</t>
  </si>
  <si>
    <t>Boys-174, Girls-245.</t>
  </si>
  <si>
    <t>Report for the month of: May-2025</t>
  </si>
  <si>
    <t>CBO Meetings-38,Parents Meetings-39, SMC-0</t>
  </si>
  <si>
    <t>1 Boy and 1 Girl</t>
  </si>
  <si>
    <t>5 Boys and 3 Girls</t>
  </si>
  <si>
    <t>5 Boys and 5 Girls</t>
  </si>
  <si>
    <t xml:space="preserve">28 Boys and 34 Girls </t>
  </si>
  <si>
    <t xml:space="preserve">18 Boys and 11 Girls </t>
  </si>
  <si>
    <t xml:space="preserve">8 Girls </t>
  </si>
  <si>
    <t xml:space="preserve">68 meetings out of 73 child collectives </t>
  </si>
  <si>
    <t xml:space="preserve">Child Rights, Child Marriage, Writing meeting minutes and Leadership Building. </t>
  </si>
  <si>
    <t>55 meetings out of 63 AGCs.</t>
  </si>
  <si>
    <t xml:space="preserve">Each CO conducted one session </t>
  </si>
  <si>
    <t>1 Boy and 1 Girl (Pathan Rafi and Pathan Masthanamma)</t>
  </si>
  <si>
    <t>9 Boys and 7 Girls</t>
  </si>
  <si>
    <t>Project:   SRAMA</t>
  </si>
  <si>
    <t>Report for the month of: May 2025</t>
  </si>
  <si>
    <t>Achievement during the month</t>
  </si>
  <si>
    <t xml:space="preserve">   </t>
  </si>
  <si>
    <t xml:space="preserve"> </t>
  </si>
  <si>
    <t>Beneficiary Id's: 1385251, 1617392, 1627367, 887422,887420.</t>
  </si>
  <si>
    <t>Share Break up : 1 CBOs, 11 parents</t>
  </si>
  <si>
    <t>Beneficiary Id's:1131061,1131076, 512516, 885350,514025, 479219, 507769, 472998, 521910</t>
  </si>
  <si>
    <t xml:space="preserve">Beneficiary ID's : 507319,474228,512525,883532,524433,1385462,475179,519975,472776,476533, 516718, 514024, 459618, 476764, 510891, 503353, </t>
  </si>
  <si>
    <t>Beneficiary ID's: 1620531, 1620535, 1619934, 1620533, 1619383, 1620540,1619916,1618443,1621402,1619381, 1621515, 1621612, 1628525, 1626432, 1622091, 1621165, 1621153</t>
  </si>
  <si>
    <t>Mention  topics: Decision Making</t>
  </si>
  <si>
    <t xml:space="preserve">Mention Topics:  Menstrual Hygeine for Adolescent Girls                                                                               
</t>
  </si>
  <si>
    <t>Out of the total 21 AGCs, only 14 AGCs conducted Menstrual Hygiene Management sessions.</t>
  </si>
  <si>
    <t>Adolescent girls are covered in Menstrual Hygiene Management sessions in these 14 AGCs</t>
  </si>
  <si>
    <t>62 Male, 84 female</t>
  </si>
  <si>
    <t>1.Update Machara Mini Angawadi Centers to Main Anganwadi Center. 2. A representation was made to the secretary to make resolutions to ensure that Addankiwari Lanka village should be a child labor-free village, a school hunting village, and a village where child marriages do not occur. 3.  representation has been made to the MPDO to set up a mini Anganwadi center in Addankivarilanka Mothavari Peta. 4. Submitting a request to the Secretary requesting for the provision of land for the Angara Sc Area Anganwadi Center.</t>
  </si>
  <si>
    <t>World Menstruation Day was published in 2 newspapers. The representation given by the children of Child Collective to complete the construction of additional classrooms at Nallur High School was published in three newspapers.</t>
  </si>
  <si>
    <t>Project:  PORD</t>
  </si>
  <si>
    <t>SI. No.</t>
  </si>
  <si>
    <t>Number of children appeared for Instant or Supplementary exams (10th and Intermediate 2nd Year)</t>
  </si>
  <si>
    <t xml:space="preserve">Achievement During the month </t>
  </si>
  <si>
    <t>60 boys and 45 girls in 10th class. 
26  boys and 20 girls in intermediate.
100% failed children appeared for supplementary exams in May.</t>
  </si>
  <si>
    <t xml:space="preserve">(43 CBO meetings: 620 (Male:279, Female:341))
</t>
  </si>
  <si>
    <t>4=(Boys:1, Girls:3)</t>
  </si>
  <si>
    <t>13=(Boys9: Girls:4)</t>
  </si>
  <si>
    <t>139(Boys: 68, Girls:71)</t>
  </si>
  <si>
    <t>959 (Boys : 333, Girls: 516)</t>
  </si>
  <si>
    <t xml:space="preserve">Different Thinking Patterns-I &amp; II
Effective Listening 
 </t>
  </si>
  <si>
    <t>331 (Boys : 152, Girls: 179)</t>
  </si>
  <si>
    <t>580 Participants</t>
  </si>
  <si>
    <t>301 Families -  534 parents</t>
  </si>
  <si>
    <t>Submitted the Requestion to the CDPO on New Anganwadi in B.K Palli Urban - On 26/5/2025.</t>
  </si>
  <si>
    <t>S. 
No.</t>
  </si>
  <si>
    <t>T</t>
  </si>
  <si>
    <t xml:space="preserve">Number of Dropout Mainstreamed (15-18 years ) </t>
  </si>
  <si>
    <t>No of CBO/ Parents/ SMC meetings conducted ( CBO's -19 ,MM-01 )</t>
  </si>
  <si>
    <t>Protection</t>
  </si>
  <si>
    <t>No. of VCPC Meetings Conducted in the existing Committees (VCPC-2)</t>
  </si>
  <si>
    <t>Advocacy/Media Advocacy</t>
  </si>
  <si>
    <t>CBO's-19 (M-5 , F-291,T-296 )
MM-1(M-0,F-51,T-51)</t>
  </si>
  <si>
    <t>VCPC-2(M-15,F-27,T-42)</t>
  </si>
  <si>
    <t xml:space="preserve">1. Different Taughts </t>
  </si>
  <si>
    <t>PRAGATHI</t>
  </si>
  <si>
    <t>SRAMA</t>
  </si>
  <si>
    <t>PORD</t>
  </si>
  <si>
    <t xml:space="preserve">Total </t>
  </si>
  <si>
    <t>May Month Achievement</t>
  </si>
  <si>
    <t>EFFORT</t>
  </si>
  <si>
    <t>Report for the month of: May, 2025</t>
  </si>
  <si>
    <t>Name Of the Partner: EFFORT                        
Report for the month of: May ,2025</t>
  </si>
  <si>
    <t>Projects: Pragathi, SRAMA, KDDI, PORD, MDGF, EFFORT and EFFORT Bhadrachalam</t>
  </si>
  <si>
    <t>Report for the month of:  March 2025</t>
  </si>
  <si>
    <t xml:space="preserve">March Month Achievement </t>
  </si>
  <si>
    <t xml:space="preserve">AP </t>
  </si>
  <si>
    <t>TGS</t>
  </si>
  <si>
    <t>AP/TGS Total</t>
  </si>
  <si>
    <t xml:space="preserve">Number of Sessions on Menstrual Hygeine Management  Conducted (Puberty) </t>
  </si>
  <si>
    <t>KDDI, Machilipatnam</t>
  </si>
  <si>
    <t>Total</t>
  </si>
  <si>
    <t>Boy</t>
  </si>
  <si>
    <t>Girl</t>
  </si>
  <si>
    <t>Remarks</t>
  </si>
  <si>
    <r>
      <t xml:space="preserve">This month, 7 CBO meetings were held in 7 villages are Garaladibba,Gialakaladindi,Campbelpeta,Giripuram,Pedapatnam,Kanuru,Kona. A total of 31 people, 16 men and 15 women, participated in these 7 meetings.
</t>
    </r>
    <r>
      <rPr>
        <b/>
        <sz val="11"/>
        <color theme="1"/>
        <rFont val="Calibri"/>
        <family val="2"/>
        <scheme val="minor"/>
      </rPr>
      <t xml:space="preserve">Topics: </t>
    </r>
    <r>
      <rPr>
        <sz val="11"/>
        <color theme="1"/>
        <rFont val="Calibri"/>
        <family val="2"/>
        <scheme val="minor"/>
      </rPr>
      <t xml:space="preserve">The ills of child marriage, admission of children to college, dropout and Child Labour house visits, We also talked about making efforts to write supplementary exams with children who failed in 10th and intermediate.       </t>
    </r>
  </si>
  <si>
    <r>
      <rPr>
        <b/>
        <sz val="11"/>
        <color theme="1"/>
        <rFont val="Calibri"/>
        <family val="2"/>
        <scheme val="minor"/>
      </rPr>
      <t>Gilakaladindi:</t>
    </r>
    <r>
      <rPr>
        <sz val="11"/>
        <color theme="1"/>
        <rFont val="Calibri"/>
        <family val="2"/>
        <scheme val="minor"/>
      </rPr>
      <t xml:space="preserve"> Karri Mohan Kumar-1572803                                                                                                                                             Vatapalli Upendra-1277110                                                                                                                                                                                                                  </t>
    </r>
  </si>
  <si>
    <r>
      <t xml:space="preserve">1 Village Level Child Protection Committee meeting held in Kanuru village this month.                                                                                                                                                                </t>
    </r>
    <r>
      <rPr>
        <b/>
        <sz val="11"/>
        <color theme="1"/>
        <rFont val="Calibri"/>
        <family val="2"/>
        <scheme val="minor"/>
      </rPr>
      <t xml:space="preserve"> Participation: </t>
    </r>
    <r>
      <rPr>
        <sz val="11"/>
        <color theme="1"/>
        <rFont val="Calibri"/>
        <family val="2"/>
        <scheme val="minor"/>
      </rPr>
      <t>6 Men &amp; 4 Female                                                                                                       VRO,NGO,Secretory,ANM-Female ,MSK-Female, Anganwadi teacher-Female, VO-Female, Students,Panchayath Ward member,Surpench-Female</t>
    </r>
    <r>
      <rPr>
        <b/>
        <sz val="11"/>
        <color theme="1"/>
        <rFont val="Calibri"/>
        <family val="2"/>
        <scheme val="minor"/>
      </rPr>
      <t xml:space="preserve">                                       Topic: </t>
    </r>
    <r>
      <rPr>
        <sz val="11"/>
        <color theme="1"/>
        <rFont val="Calibri"/>
        <family val="2"/>
        <scheme val="minor"/>
      </rPr>
      <t xml:space="preserve">About VCPC Strengthening, Since a girl was abused in the village, there was talk of stopping such things.                                                                                                                                                                                                                                                                                                                                  </t>
    </r>
  </si>
  <si>
    <t>Counseling was given to Lanke Amulya of Polatitippa village but she got married -1236273</t>
  </si>
  <si>
    <r>
      <t xml:space="preserve">This month, 11 Child Collective meetings were organized in 10 villages. </t>
    </r>
    <r>
      <rPr>
        <b/>
        <sz val="12"/>
        <color theme="1"/>
        <rFont val="Calibri"/>
        <family val="2"/>
        <scheme val="minor"/>
      </rPr>
      <t xml:space="preserve">Participation: </t>
    </r>
    <r>
      <rPr>
        <sz val="12"/>
        <color theme="1"/>
        <rFont val="Calibri"/>
        <family val="2"/>
        <scheme val="minor"/>
      </rPr>
      <t xml:space="preserve">A total of 180 children, 87 boys and 93 girls, participated in these meetings.                           
</t>
    </r>
    <r>
      <rPr>
        <b/>
        <sz val="12"/>
        <color theme="1"/>
        <rFont val="Calibri"/>
        <family val="2"/>
        <scheme val="minor"/>
      </rPr>
      <t>Topic:</t>
    </r>
    <r>
      <rPr>
        <sz val="12"/>
        <color theme="1"/>
        <rFont val="Calibri"/>
        <family val="2"/>
        <scheme val="minor"/>
      </rPr>
      <t xml:space="preserve"> Children's rights, importance of education, child marriage, higher education, dropout and child labor, helpline numbers were informed. Special attention was paid to the safety precautions that girls should take during holidays.</t>
    </r>
  </si>
  <si>
    <r>
      <rPr>
        <b/>
        <sz val="11"/>
        <color theme="1"/>
        <rFont val="Calibri"/>
        <family val="2"/>
        <scheme val="minor"/>
      </rPr>
      <t xml:space="preserve">Topic: </t>
    </r>
    <r>
      <rPr>
        <sz val="11"/>
        <color theme="1"/>
        <rFont val="Calibri"/>
        <family val="2"/>
        <scheme val="minor"/>
      </rPr>
      <t xml:space="preserve">Self Confidence, Become A Leader </t>
    </r>
  </si>
  <si>
    <t>G.Pallepalem, Campbelpeta, Garaladibba, Gilakaladindi</t>
  </si>
  <si>
    <t xml:space="preserve">41 Boys &amp; 45 Girls totally 86 children participated in these sessions. </t>
  </si>
  <si>
    <t>This month, 10 AGC meetings were held in 9  villages (Campbelpeta Gilakaladindi,Garaladibba,Bandarkota,Pedakaragraharam,Gundupalem,Palletummalapalem-1 , Palletummalapalem-2, Patheru). In these meetings, we addressed 154 girls on topics such as Puberty, respecting boundaries,Disadvantages of Child Marriages, Child Abuses, Help line numbers,Good touch and bad touch,Importnace of Girl child education.</t>
  </si>
  <si>
    <t>Campbelpeta,Gilakaladindi,Garaladibba,Bandarkota,Pedakaragraharam,Gundupalem,Palletummalapalem-1 , Palletummalapalem-2.</t>
  </si>
  <si>
    <t>Child Labour -  25 male &amp; 10 female                                                                                                                           Child Marriage - 3 female</t>
  </si>
  <si>
    <t>1. A memorandum has been submitted to the local minister for the construction of a place and building for a primary school in Pedhakaragraharam.
2. A project proposal has been submitted to the local minister for an IIT seat for a girl from Pedayadara.</t>
  </si>
  <si>
    <t>Additional Data (If any)</t>
  </si>
  <si>
    <t xml:space="preserve">Any Highlight of the month events conducted </t>
  </si>
  <si>
    <t xml:space="preserve">                                                                                                                                                                                    1. College Joinings                                                                                                                                       2. Representations submitted to Local MLA</t>
  </si>
  <si>
    <t>Number of children Participated</t>
  </si>
  <si>
    <t>Number of Stakeholders Participated</t>
  </si>
  <si>
    <t>Any Things you would like to add to tell to CRY</t>
  </si>
  <si>
    <t>KDDI</t>
  </si>
  <si>
    <t>Projects: PRAGATHI, SRAMA, KDDI and PORD</t>
  </si>
  <si>
    <t xml:space="preserve">  </t>
  </si>
  <si>
    <t>Projects: EFFORT Kmm, MDDI and EFFORT Bhdracahalm</t>
  </si>
  <si>
    <t>TOTAL</t>
  </si>
  <si>
    <t>MDDI</t>
  </si>
  <si>
    <t>1 &amp;2</t>
  </si>
  <si>
    <t>1&amp;2</t>
  </si>
  <si>
    <t xml:space="preserve">which villages? </t>
  </si>
  <si>
    <t>Project:  MDDI</t>
  </si>
  <si>
    <t>Report for the Month of:  MAY 2025</t>
  </si>
  <si>
    <t>18 - (11B, 7G)
10th Supplimentary - 14 (9B, 5G)
12th Supplimentary - 4 (2B, 2G)</t>
  </si>
  <si>
    <t xml:space="preserve">
</t>
  </si>
  <si>
    <t>1B - 6-14 Years</t>
  </si>
  <si>
    <t>4B - 15-18 Years</t>
  </si>
  <si>
    <t>Caste Certificates = 4 (2B, 2G)
Income Certificates = 5 (2B, 3G)</t>
  </si>
  <si>
    <t xml:space="preserve">
1. 10 (5B,5G) children of  5 families
 - Child Labour Counselling
2. 1G of 1 family - Child Marriage Counselling</t>
  </si>
  <si>
    <t>1. 2 representations for improving Bus facilities  -  to Telangana Education Commission and Municipal Commissioner
2. 2 representations for Mobile Anganwadi Centres - to WCD Director and Municipal Commissioner
3. 5 Acres land allocation requisition to the District Collector
4. Representation to the TEC about Aadhaar to write to the UIDAI.</t>
  </si>
  <si>
    <t>Project: EFFORT-Bhadrachalam</t>
  </si>
  <si>
    <t>Achievements</t>
  </si>
  <si>
    <t>Boys</t>
  </si>
  <si>
    <t>Girls</t>
  </si>
  <si>
    <t>Number of Dropout mainstreamed(6-14 years )</t>
  </si>
  <si>
    <t>No.of Parent Module Sessions Conducted</t>
  </si>
  <si>
    <t>Number of New CL Identified (6-14)</t>
  </si>
  <si>
    <t>Number of New CL Identified (15-18)</t>
  </si>
  <si>
    <t>Number of child marriages prevented</t>
  </si>
  <si>
    <t xml:space="preserve">No of other Trainings conducted at CC meetings </t>
  </si>
  <si>
    <t>Health &amp; Nutrition</t>
  </si>
  <si>
    <t>No of low birth weight children identified</t>
  </si>
  <si>
    <t>No of new SUW/MUW children identified</t>
  </si>
  <si>
    <t>No of SUW moved to MUW</t>
  </si>
  <si>
    <t>No of MUW moved to Normal</t>
  </si>
  <si>
    <t>No of children below 1 year got immunized as per the schedule</t>
  </si>
  <si>
    <t xml:space="preserve">No of pragnanat women identified and registered with ICDS </t>
  </si>
  <si>
    <t xml:space="preserve">No of high risk pragnant women identified </t>
  </si>
  <si>
    <t>No of high risk pragnanat women referred to medical services</t>
  </si>
  <si>
    <t>No of SUW/MUW children referred to NRC</t>
  </si>
  <si>
    <t>EFFORT BCM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</si>
</sst>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Arial"/>
      <family val="2"/>
    </font>
    <font>
      <b/>
      <sz val="11"/>
      <name val="Calibri"/>
      <family val="2"/>
      <scheme val="minor"/>
    </font>
    <font>
      <b/>
      <sz val="10"/>
      <name val="Calibri"/>
      <family val="2"/>
      <scheme val="minor"/>
    </font>
    <font>
      <sz val="10"/>
      <name val="Calibri"/>
      <family val="2"/>
      <scheme val="minor"/>
    </font>
    <font>
      <sz val="8"/>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0"/>
      <color rgb="FF000000"/>
      <name val="Calibri"/>
      <family val="2"/>
    </font>
    <font>
      <sz val="13"/>
      <color theme="1"/>
      <name val="Calibri"/>
      <family val="2"/>
      <scheme val="minor"/>
    </font>
    <font>
      <sz val="10"/>
      <color rgb="FF222222"/>
      <name val="Arial"/>
      <family val="2"/>
    </font>
    <font>
      <b/>
      <sz val="9"/>
      <color indexed="81"/>
      <name val="Tahoma"/>
      <family val="2"/>
    </font>
    <font>
      <b/>
      <sz val="9"/>
      <color theme="1"/>
      <name val="Calibri"/>
      <family val="2"/>
      <scheme val="minor"/>
    </font>
    <font>
      <sz val="10"/>
      <name val="Calibri"/>
      <family val="2"/>
    </font>
    <font>
      <b/>
      <sz val="9"/>
      <color rgb="FF000000"/>
      <name val="Calibri"/>
      <family val="2"/>
    </font>
    <font>
      <sz val="10"/>
      <color theme="1"/>
      <name val="Calibri"/>
      <family val="2"/>
      <scheme val="minor"/>
    </font>
    <font>
      <sz val="12"/>
      <color theme="1"/>
      <name val="Calibri"/>
      <family val="2"/>
      <scheme val="minor"/>
    </font>
    <font>
      <b/>
      <sz val="12"/>
      <color theme="1"/>
      <name val="Calibri"/>
      <family val="2"/>
      <scheme val="minor"/>
    </font>
    <font>
      <sz val="10"/>
      <color rgb="FF000000"/>
      <name val="Calibri"/>
      <family val="2"/>
    </font>
    <font>
      <sz val="11"/>
      <name val="Calibri"/>
      <family val="2"/>
    </font>
    <font>
      <u/>
      <sz val="11"/>
      <color theme="10"/>
      <name val="Calibri"/>
      <family val="2"/>
      <scheme val="minor"/>
    </font>
    <font>
      <b/>
      <sz val="11"/>
      <color rgb="FF000000"/>
      <name val="Calibri"/>
      <family val="2"/>
    </font>
    <font>
      <sz val="11"/>
      <color rgb="FF000000"/>
      <name val="Calibri"/>
      <family val="2"/>
    </font>
    <font>
      <sz val="10"/>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1" fillId="0" borderId="0" applyNumberFormat="0" applyFill="0" applyBorder="0" applyAlignment="0" applyProtection="0"/>
  </cellStyleXfs>
  <cellXfs count="188">
    <xf numFmtId="0" fontId="0" fillId="0" borderId="0" xfId="0"/>
    <xf numFmtId="0" fontId="4" fillId="0" borderId="1" xfId="0" applyFont="1" applyBorder="1" applyAlignment="1">
      <alignment horizontal="center" vertical="center"/>
    </xf>
    <xf numFmtId="0" fontId="4" fillId="0" borderId="1" xfId="0" applyFont="1" applyBorder="1" applyAlignment="1">
      <alignment vertical="center" wrapText="1"/>
    </xf>
    <xf numFmtId="0" fontId="0" fillId="0" borderId="1" xfId="0" applyBorder="1" applyAlignment="1">
      <alignment vertical="center"/>
    </xf>
    <xf numFmtId="0" fontId="0" fillId="0" borderId="0" xfId="0" applyAlignment="1">
      <alignment vertical="center"/>
    </xf>
    <xf numFmtId="0" fontId="0" fillId="0" borderId="1" xfId="0" applyBorder="1"/>
    <xf numFmtId="0" fontId="0" fillId="0" borderId="0" xfId="0"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9" fillId="0" borderId="1" xfId="0" applyFont="1" applyBorder="1" applyAlignment="1">
      <alignment horizontal="center" vertical="center" wrapText="1"/>
    </xf>
    <xf numFmtId="0" fontId="4" fillId="0" borderId="1" xfId="0" applyFont="1" applyBorder="1" applyAlignment="1">
      <alignment vertical="top" wrapText="1"/>
    </xf>
    <xf numFmtId="0" fontId="0" fillId="0" borderId="0" xfId="0" applyAlignment="1">
      <alignment vertical="top"/>
    </xf>
    <xf numFmtId="0" fontId="0" fillId="0" borderId="0" xfId="0" applyAlignment="1">
      <alignment horizontal="center" vertical="top"/>
    </xf>
    <xf numFmtId="0" fontId="4" fillId="2" borderId="1" xfId="0" applyFont="1" applyFill="1" applyBorder="1" applyAlignment="1">
      <alignment horizontal="center" vertical="top"/>
    </xf>
    <xf numFmtId="0" fontId="4" fillId="0" borderId="1" xfId="0" applyFont="1" applyBorder="1" applyAlignment="1">
      <alignment horizontal="center" vertical="top"/>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vertical="top" wrapText="1"/>
    </xf>
    <xf numFmtId="0" fontId="8"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horizontal="center" vertical="top" wrapText="1"/>
    </xf>
    <xf numFmtId="0" fontId="8" fillId="0" borderId="1" xfId="0" applyFont="1" applyBorder="1" applyAlignment="1">
      <alignment vertical="top"/>
    </xf>
    <xf numFmtId="0" fontId="10" fillId="0" borderId="1" xfId="0" applyFont="1" applyBorder="1"/>
    <xf numFmtId="0" fontId="7" fillId="0" borderId="1" xfId="0" applyFont="1" applyBorder="1" applyAlignment="1">
      <alignment vertical="top" wrapText="1"/>
    </xf>
    <xf numFmtId="0" fontId="11" fillId="0" borderId="1" xfId="0" applyFont="1" applyBorder="1" applyAlignment="1">
      <alignment horizontal="left" wrapText="1"/>
    </xf>
    <xf numFmtId="0" fontId="3" fillId="0" borderId="1" xfId="0" applyFont="1" applyBorder="1" applyAlignment="1">
      <alignment vertical="top" wrapText="1"/>
    </xf>
    <xf numFmtId="0" fontId="4" fillId="0" borderId="1" xfId="0" applyFont="1" applyBorder="1" applyAlignment="1">
      <alignment horizontal="center" vertical="top" wrapText="1"/>
    </xf>
    <xf numFmtId="0" fontId="13" fillId="0" borderId="1" xfId="0" applyFont="1" applyBorder="1" applyAlignment="1">
      <alignment vertical="center"/>
    </xf>
    <xf numFmtId="0" fontId="2" fillId="0" borderId="1" xfId="0" applyFont="1" applyBorder="1" applyAlignment="1">
      <alignment horizontal="center" vertical="top" wrapText="1"/>
    </xf>
    <xf numFmtId="0" fontId="7" fillId="0" borderId="1" xfId="0" applyFont="1" applyBorder="1"/>
    <xf numFmtId="0" fontId="7" fillId="0" borderId="6" xfId="0" applyFont="1" applyBorder="1" applyAlignment="1">
      <alignment horizontal="center" vertical="center"/>
    </xf>
    <xf numFmtId="0" fontId="14" fillId="0" borderId="1" xfId="0" applyFont="1" applyBorder="1" applyAlignment="1">
      <alignment vertical="center"/>
    </xf>
    <xf numFmtId="0" fontId="4" fillId="2" borderId="1" xfId="0" applyFont="1" applyFill="1" applyBorder="1" applyAlignment="1">
      <alignment horizontal="center" vertical="top" wrapText="1"/>
    </xf>
    <xf numFmtId="0" fontId="3"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0" fillId="0" borderId="1" xfId="0" applyBorder="1" applyAlignment="1">
      <alignment horizontal="center" vertical="center"/>
    </xf>
    <xf numFmtId="0" fontId="4" fillId="0" borderId="12" xfId="0" applyFont="1" applyBorder="1" applyAlignment="1">
      <alignment horizontal="center" vertical="top"/>
    </xf>
    <xf numFmtId="0" fontId="0" fillId="0" borderId="6" xfId="0" applyBorder="1" applyAlignment="1">
      <alignment horizontal="center" vertical="center"/>
    </xf>
    <xf numFmtId="0" fontId="0" fillId="0" borderId="0" xfId="0" applyAlignment="1">
      <alignment horizontal="left" vertical="center"/>
    </xf>
    <xf numFmtId="0" fontId="0" fillId="0" borderId="0" xfId="0" applyAlignment="1">
      <alignment vertical="top" wrapText="1"/>
    </xf>
    <xf numFmtId="0" fontId="0" fillId="0" borderId="1" xfId="0" applyBorder="1" applyAlignment="1">
      <alignment horizontal="left" vertical="top"/>
    </xf>
    <xf numFmtId="0" fontId="0" fillId="0" borderId="1" xfId="0" applyBorder="1" applyAlignment="1">
      <alignment horizontal="center" vertical="top"/>
    </xf>
    <xf numFmtId="0" fontId="0" fillId="0" borderId="13" xfId="0" applyBorder="1" applyAlignment="1">
      <alignment horizontal="center" vertical="top"/>
    </xf>
    <xf numFmtId="0" fontId="6" fillId="4" borderId="1" xfId="0" applyFont="1" applyFill="1" applyBorder="1" applyAlignment="1">
      <alignment horizontal="left" vertical="top" wrapText="1"/>
    </xf>
    <xf numFmtId="0" fontId="0" fillId="5" borderId="1" xfId="0" applyFill="1" applyBorder="1" applyAlignment="1">
      <alignment horizontal="left" vertical="top"/>
    </xf>
    <xf numFmtId="0" fontId="7" fillId="2" borderId="1" xfId="0" applyFont="1" applyFill="1" applyBorder="1" applyAlignment="1">
      <alignment horizontal="center" vertical="center"/>
    </xf>
    <xf numFmtId="0" fontId="7" fillId="0" borderId="1" xfId="0" applyFont="1" applyBorder="1" applyAlignment="1">
      <alignment horizontal="center" vertical="top"/>
    </xf>
    <xf numFmtId="0" fontId="7"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top" wrapText="1"/>
    </xf>
    <xf numFmtId="0" fontId="0" fillId="5" borderId="1" xfId="0" applyFill="1" applyBorder="1" applyAlignment="1">
      <alignment horizontal="left" vertical="top" wrapText="1"/>
    </xf>
    <xf numFmtId="0" fontId="6" fillId="6" borderId="1" xfId="0" applyFont="1" applyFill="1" applyBorder="1" applyAlignment="1">
      <alignment horizontal="left" vertical="top" wrapText="1"/>
    </xf>
    <xf numFmtId="0" fontId="6" fillId="6" borderId="1" xfId="0" applyFont="1" applyFill="1" applyBorder="1" applyAlignment="1">
      <alignment horizontal="left" vertical="top"/>
    </xf>
    <xf numFmtId="0" fontId="0" fillId="6" borderId="12" xfId="0" applyFill="1" applyBorder="1" applyAlignment="1">
      <alignment horizontal="center" vertical="top"/>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3" xfId="0" applyFill="1" applyBorder="1" applyAlignment="1">
      <alignment horizontal="center" vertical="center"/>
    </xf>
    <xf numFmtId="0" fontId="7" fillId="4" borderId="12" xfId="0" applyFont="1" applyFill="1" applyBorder="1" applyAlignment="1">
      <alignment horizontal="center" vertical="center" wrapText="1"/>
    </xf>
    <xf numFmtId="0" fontId="7" fillId="4" borderId="1" xfId="0" applyFont="1" applyFill="1" applyBorder="1" applyAlignment="1">
      <alignment horizontal="center" vertical="top"/>
    </xf>
    <xf numFmtId="0" fontId="0" fillId="4" borderId="1" xfId="0" applyFill="1" applyBorder="1" applyAlignment="1">
      <alignment horizontal="center" vertical="top"/>
    </xf>
    <xf numFmtId="0" fontId="0" fillId="4" borderId="11" xfId="0" applyFill="1" applyBorder="1" applyAlignment="1">
      <alignment horizontal="center" vertical="center"/>
    </xf>
    <xf numFmtId="0" fontId="6" fillId="5" borderId="1" xfId="0" applyFont="1" applyFill="1" applyBorder="1" applyAlignment="1">
      <alignment horizontal="center" vertical="top"/>
    </xf>
    <xf numFmtId="0" fontId="0" fillId="0" borderId="13" xfId="0" applyBorder="1" applyAlignment="1">
      <alignment horizontal="left" vertical="top" wrapText="1"/>
    </xf>
    <xf numFmtId="0" fontId="0" fillId="0" borderId="3" xfId="0" applyBorder="1" applyAlignment="1">
      <alignment horizontal="left" vertical="top" wrapText="1"/>
    </xf>
    <xf numFmtId="0" fontId="6" fillId="5" borderId="1" xfId="0" applyFont="1" applyFill="1" applyBorder="1" applyAlignment="1">
      <alignment horizontal="center" vertical="top" wrapText="1"/>
    </xf>
    <xf numFmtId="0" fontId="6" fillId="4" borderId="6" xfId="0" applyFont="1" applyFill="1" applyBorder="1" applyAlignment="1">
      <alignment horizontal="left" vertical="top"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6" fillId="0" borderId="1" xfId="0" applyFont="1" applyBorder="1" applyAlignment="1">
      <alignment horizontal="center" vertical="top"/>
    </xf>
    <xf numFmtId="0" fontId="6" fillId="4" borderId="1" xfId="0" applyFont="1" applyFill="1" applyBorder="1" applyAlignment="1">
      <alignment horizontal="left" vertical="center" wrapText="1"/>
    </xf>
    <xf numFmtId="0" fontId="4" fillId="4" borderId="1" xfId="0" applyFont="1" applyFill="1" applyBorder="1" applyAlignment="1">
      <alignment horizontal="center" vertical="top"/>
    </xf>
    <xf numFmtId="0" fontId="6" fillId="6"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4" borderId="1" xfId="0" applyFont="1" applyFill="1" applyBorder="1" applyAlignment="1">
      <alignment horizontal="center" vertical="top"/>
    </xf>
    <xf numFmtId="0" fontId="6" fillId="4" borderId="6" xfId="0" applyFont="1" applyFill="1" applyBorder="1" applyAlignment="1">
      <alignment horizontal="center" vertical="top"/>
    </xf>
    <xf numFmtId="0" fontId="2"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7" fillId="4" borderId="1" xfId="0" applyFont="1" applyFill="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6" xfId="0" applyFont="1" applyBorder="1" applyAlignment="1">
      <alignment horizontal="left" vertical="center"/>
    </xf>
    <xf numFmtId="0" fontId="0" fillId="0" borderId="1" xfId="0" quotePrefix="1" applyBorder="1" applyAlignment="1">
      <alignment horizontal="left" vertical="center"/>
    </xf>
    <xf numFmtId="0" fontId="7" fillId="0" borderId="2" xfId="0" applyFont="1" applyBorder="1" applyAlignment="1">
      <alignment horizontal="left" vertical="center"/>
    </xf>
    <xf numFmtId="0" fontId="0" fillId="0" borderId="6" xfId="0" applyBorder="1" applyAlignment="1">
      <alignment horizontal="left" vertical="center"/>
    </xf>
    <xf numFmtId="0" fontId="0" fillId="7" borderId="1" xfId="0" applyFill="1" applyBorder="1" applyAlignment="1">
      <alignment horizontal="left" vertical="center"/>
    </xf>
    <xf numFmtId="0" fontId="0" fillId="0" borderId="1" xfId="0" applyBorder="1" applyAlignment="1">
      <alignment horizontal="left" wrapText="1"/>
    </xf>
    <xf numFmtId="0" fontId="0" fillId="0" borderId="1" xfId="0" applyBorder="1" applyAlignment="1">
      <alignment wrapText="1"/>
    </xf>
    <xf numFmtId="0" fontId="17" fillId="0" borderId="1" xfId="0" applyFont="1" applyBorder="1" applyAlignment="1">
      <alignment horizontal="left" vertical="top" wrapText="1"/>
    </xf>
    <xf numFmtId="0" fontId="6" fillId="4" borderId="1" xfId="0" applyFont="1" applyFill="1" applyBorder="1" applyAlignment="1">
      <alignment horizontal="left" vertical="center"/>
    </xf>
    <xf numFmtId="0" fontId="7" fillId="4" borderId="6" xfId="0" applyFont="1" applyFill="1" applyBorder="1" applyAlignment="1">
      <alignment horizontal="left" vertical="center"/>
    </xf>
    <xf numFmtId="0" fontId="0" fillId="4" borderId="1" xfId="0" applyFill="1" applyBorder="1" applyAlignment="1">
      <alignment horizontal="left" vertical="center"/>
    </xf>
    <xf numFmtId="0" fontId="7" fillId="4" borderId="1" xfId="0" applyFont="1" applyFill="1" applyBorder="1" applyAlignment="1">
      <alignment horizontal="left" vertical="center" wrapText="1"/>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0" fillId="6" borderId="1" xfId="0" applyFill="1" applyBorder="1" applyAlignment="1">
      <alignment horizontal="left" vertical="center"/>
    </xf>
    <xf numFmtId="0" fontId="6" fillId="4" borderId="1" xfId="0" applyFont="1" applyFill="1" applyBorder="1" applyAlignment="1">
      <alignment horizontal="left" vertical="top"/>
    </xf>
    <xf numFmtId="0" fontId="16" fillId="0" borderId="1" xfId="0" applyFont="1" applyBorder="1" applyAlignment="1">
      <alignment horizontal="center" vertical="center"/>
    </xf>
    <xf numFmtId="0" fontId="2" fillId="3" borderId="0" xfId="0" applyFont="1" applyFill="1" applyAlignment="1">
      <alignment horizontal="left" vertical="center"/>
    </xf>
    <xf numFmtId="0" fontId="15" fillId="0" borderId="0" xfId="0" applyFont="1" applyAlignment="1">
      <alignment horizontal="center" vertical="center" wrapText="1"/>
    </xf>
    <xf numFmtId="0" fontId="9" fillId="4" borderId="0" xfId="0" applyFont="1" applyFill="1" applyAlignment="1">
      <alignment horizontal="center" vertical="center"/>
    </xf>
    <xf numFmtId="0" fontId="4" fillId="0" borderId="0" xfId="0" applyFont="1" applyAlignment="1">
      <alignment horizontal="center" vertical="center"/>
    </xf>
    <xf numFmtId="0" fontId="3" fillId="4" borderId="0" xfId="0" applyFont="1" applyFill="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0" fillId="8" borderId="1" xfId="0" applyFill="1" applyBorder="1" applyAlignment="1">
      <alignment horizontal="left" vertical="top" wrapText="1"/>
    </xf>
    <xf numFmtId="0" fontId="7" fillId="8" borderId="6" xfId="0" applyFont="1" applyFill="1" applyBorder="1" applyAlignment="1">
      <alignment horizontal="left" vertical="center"/>
    </xf>
    <xf numFmtId="0" fontId="4" fillId="8" borderId="1" xfId="0" applyFont="1" applyFill="1" applyBorder="1" applyAlignment="1">
      <alignment horizontal="center" vertical="top"/>
    </xf>
    <xf numFmtId="0" fontId="0" fillId="8" borderId="1" xfId="0" applyFill="1" applyBorder="1" applyAlignment="1">
      <alignment vertical="top"/>
    </xf>
    <xf numFmtId="0" fontId="0" fillId="8" borderId="0" xfId="0" applyFill="1" applyAlignment="1">
      <alignment vertical="center" wrapText="1"/>
    </xf>
    <xf numFmtId="0" fontId="0" fillId="8" borderId="1" xfId="0" applyFill="1" applyBorder="1" applyAlignment="1">
      <alignment vertical="center"/>
    </xf>
    <xf numFmtId="0" fontId="6" fillId="0" borderId="1" xfId="0" applyFont="1" applyBorder="1" applyAlignment="1">
      <alignment horizontal="center" vertical="center"/>
    </xf>
    <xf numFmtId="0" fontId="7" fillId="4" borderId="1"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3" xfId="0" applyFont="1" applyBorder="1" applyAlignment="1">
      <alignment horizontal="left" vertical="center"/>
    </xf>
    <xf numFmtId="0" fontId="3" fillId="4" borderId="6" xfId="0" applyFont="1" applyFill="1" applyBorder="1" applyAlignment="1">
      <alignment horizontal="center" vertical="top" wrapText="1"/>
    </xf>
    <xf numFmtId="0" fontId="3" fillId="4" borderId="12" xfId="0" applyFont="1" applyFill="1" applyBorder="1" applyAlignment="1">
      <alignment horizontal="center" vertical="top"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7" fillId="4" borderId="6"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6" borderId="6" xfId="0" applyFont="1" applyFill="1" applyBorder="1" applyAlignment="1">
      <alignment horizontal="center" vertical="top"/>
    </xf>
    <xf numFmtId="0" fontId="6" fillId="6" borderId="11" xfId="0" applyFont="1" applyFill="1" applyBorder="1" applyAlignment="1">
      <alignment horizontal="center" vertical="top"/>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2" fillId="3" borderId="10" xfId="0" applyFont="1" applyFill="1" applyBorder="1" applyAlignment="1">
      <alignment horizontal="left" vertical="center"/>
    </xf>
    <xf numFmtId="0" fontId="15" fillId="0" borderId="6"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3" fillId="4" borderId="1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left" vertical="center"/>
    </xf>
    <xf numFmtId="0" fontId="6" fillId="6" borderId="1" xfId="0" applyFont="1" applyFill="1" applyBorder="1" applyAlignment="1">
      <alignment horizontal="center" vertical="center" wrapText="1"/>
    </xf>
    <xf numFmtId="0" fontId="19"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1" xfId="0" applyBorder="1" applyAlignment="1">
      <alignment vertical="center" wrapText="1"/>
    </xf>
    <xf numFmtId="0" fontId="20" fillId="0" borderId="0" xfId="0" applyFont="1" applyAlignment="1">
      <alignment horizontal="left" vertical="center" wrapText="1"/>
    </xf>
    <xf numFmtId="0" fontId="7" fillId="0" borderId="3" xfId="0" applyFont="1" applyBorder="1" applyAlignment="1">
      <alignment horizontal="center" vertical="center" wrapText="1"/>
    </xf>
    <xf numFmtId="0" fontId="8" fillId="0" borderId="0" xfId="0" applyFont="1" applyAlignment="1">
      <alignment vertical="center" wrapText="1"/>
    </xf>
    <xf numFmtId="0" fontId="4" fillId="0" borderId="1" xfId="0" applyFont="1" applyBorder="1" applyAlignment="1">
      <alignment horizontal="left" vertical="center" wrapText="1"/>
    </xf>
    <xf numFmtId="0" fontId="7" fillId="0" borderId="0" xfId="0" applyFont="1" applyAlignment="1">
      <alignment horizontal="left" vertical="center" wrapText="1"/>
    </xf>
    <xf numFmtId="0" fontId="0" fillId="0" borderId="1" xfId="0" applyBorder="1" applyAlignment="1">
      <alignment horizontal="center" vertical="center" wrapText="1"/>
    </xf>
    <xf numFmtId="0" fontId="21" fillId="0" borderId="1" xfId="2" applyBorder="1" applyAlignment="1">
      <alignment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5" borderId="1" xfId="0" applyFont="1" applyFill="1" applyBorder="1" applyAlignment="1">
      <alignment horizontal="center" vertical="center"/>
    </xf>
    <xf numFmtId="0" fontId="2" fillId="5" borderId="1" xfId="0" applyFont="1" applyFill="1" applyBorder="1" applyAlignment="1">
      <alignment vertical="center" wrapText="1"/>
    </xf>
    <xf numFmtId="0" fontId="7" fillId="5"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16" fillId="0" borderId="1" xfId="0" applyFont="1" applyBorder="1" applyAlignment="1">
      <alignment horizontal="center" vertical="center" wrapText="1"/>
    </xf>
    <xf numFmtId="0" fontId="4" fillId="5" borderId="1" xfId="0" applyFont="1" applyFill="1" applyBorder="1" applyAlignment="1">
      <alignment horizontal="center" vertical="top"/>
    </xf>
    <xf numFmtId="0" fontId="2" fillId="5" borderId="1" xfId="0" applyFont="1" applyFill="1" applyBorder="1" applyAlignment="1">
      <alignment vertical="top"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16" fillId="5" borderId="1" xfId="0" applyFont="1" applyFill="1" applyBorder="1" applyAlignment="1">
      <alignment horizontal="center" vertical="center"/>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opLeftCell="A19" workbookViewId="0">
      <selection activeCell="D26" sqref="D26"/>
    </sheetView>
  </sheetViews>
  <sheetFormatPr defaultColWidth="9.1796875" defaultRowHeight="14.5" x14ac:dyDescent="0.35"/>
  <cols>
    <col min="1" max="1" width="9.1796875" style="4"/>
    <col min="2" max="2" width="37.1796875" style="4" customWidth="1"/>
    <col min="3" max="3" width="24.08984375" style="4" customWidth="1"/>
    <col min="4" max="4" width="49.54296875" style="4" customWidth="1"/>
    <col min="5" max="5" width="9.1796875" style="4"/>
    <col min="6" max="10" width="8.7265625" customWidth="1"/>
    <col min="11" max="16384" width="9.1796875" style="4"/>
  </cols>
  <sheetData>
    <row r="1" spans="1:4" ht="15" x14ac:dyDescent="0.25">
      <c r="A1" s="120" t="s">
        <v>56</v>
      </c>
      <c r="B1" s="121"/>
      <c r="C1" s="121"/>
    </row>
    <row r="2" spans="1:4" ht="15" x14ac:dyDescent="0.25">
      <c r="A2" s="122" t="s">
        <v>65</v>
      </c>
      <c r="B2" s="122"/>
      <c r="C2" s="122"/>
    </row>
    <row r="3" spans="1:4" x14ac:dyDescent="0.35">
      <c r="A3" s="7" t="s">
        <v>0</v>
      </c>
      <c r="B3" s="8" t="s">
        <v>1</v>
      </c>
      <c r="C3" s="31" t="s">
        <v>81</v>
      </c>
    </row>
    <row r="4" spans="1:4" x14ac:dyDescent="0.35">
      <c r="A4" s="1"/>
      <c r="B4" s="118" t="s">
        <v>2</v>
      </c>
      <c r="C4" s="119"/>
    </row>
    <row r="5" spans="1:4" x14ac:dyDescent="0.35">
      <c r="A5" s="1">
        <v>1</v>
      </c>
      <c r="B5" s="2" t="s">
        <v>44</v>
      </c>
      <c r="C5" s="3">
        <v>0</v>
      </c>
    </row>
    <row r="6" spans="1:4" ht="25.5" x14ac:dyDescent="0.25">
      <c r="A6" s="1">
        <v>2</v>
      </c>
      <c r="B6" s="2" t="s">
        <v>45</v>
      </c>
      <c r="C6" s="3">
        <v>0</v>
      </c>
    </row>
    <row r="7" spans="1:4" ht="25.5" x14ac:dyDescent="0.25">
      <c r="A7" s="1">
        <v>3</v>
      </c>
      <c r="B7" s="2" t="s">
        <v>3</v>
      </c>
      <c r="C7" s="3">
        <v>0</v>
      </c>
    </row>
    <row r="8" spans="1:4" ht="38.25" x14ac:dyDescent="0.25">
      <c r="A8" s="1">
        <v>4</v>
      </c>
      <c r="B8" s="2" t="s">
        <v>4</v>
      </c>
      <c r="C8" s="3">
        <v>102</v>
      </c>
      <c r="D8" s="4" t="s">
        <v>60</v>
      </c>
    </row>
    <row r="9" spans="1:4" ht="25.5" x14ac:dyDescent="0.25">
      <c r="A9" s="1">
        <v>5</v>
      </c>
      <c r="B9" s="2" t="s">
        <v>5</v>
      </c>
      <c r="C9" s="3">
        <v>0</v>
      </c>
    </row>
    <row r="10" spans="1:4" ht="26" x14ac:dyDescent="0.35">
      <c r="A10" s="1">
        <v>6</v>
      </c>
      <c r="B10" s="2" t="s">
        <v>6</v>
      </c>
      <c r="C10" s="3">
        <v>0</v>
      </c>
    </row>
    <row r="11" spans="1:4" ht="26" x14ac:dyDescent="0.35">
      <c r="A11" s="1">
        <v>7</v>
      </c>
      <c r="B11" s="2" t="s">
        <v>32</v>
      </c>
      <c r="C11" s="3">
        <v>0</v>
      </c>
    </row>
    <row r="12" spans="1:4" x14ac:dyDescent="0.35">
      <c r="A12" s="1"/>
      <c r="B12" s="118" t="s">
        <v>7</v>
      </c>
      <c r="C12" s="119"/>
    </row>
    <row r="13" spans="1:4" ht="26" x14ac:dyDescent="0.35">
      <c r="A13" s="1">
        <v>8</v>
      </c>
      <c r="B13" s="2" t="s">
        <v>8</v>
      </c>
      <c r="C13" s="3">
        <v>0</v>
      </c>
    </row>
    <row r="14" spans="1:4" x14ac:dyDescent="0.35">
      <c r="A14" s="1">
        <v>9</v>
      </c>
      <c r="B14" s="2" t="s">
        <v>9</v>
      </c>
      <c r="C14" s="3">
        <v>0</v>
      </c>
    </row>
    <row r="15" spans="1:4" ht="26" x14ac:dyDescent="0.35">
      <c r="A15" s="1">
        <v>10</v>
      </c>
      <c r="B15" s="2" t="s">
        <v>10</v>
      </c>
      <c r="C15" s="3">
        <v>0</v>
      </c>
    </row>
    <row r="16" spans="1:4" ht="26" x14ac:dyDescent="0.35">
      <c r="A16" s="1">
        <v>11</v>
      </c>
      <c r="B16" s="2" t="s">
        <v>11</v>
      </c>
      <c r="C16" s="3">
        <v>0</v>
      </c>
    </row>
    <row r="17" spans="1:4" ht="26" x14ac:dyDescent="0.35">
      <c r="A17" s="1">
        <v>12</v>
      </c>
      <c r="B17" s="2" t="s">
        <v>12</v>
      </c>
      <c r="C17" s="3">
        <v>0</v>
      </c>
    </row>
    <row r="18" spans="1:4" ht="26" x14ac:dyDescent="0.35">
      <c r="A18" s="1">
        <v>13</v>
      </c>
      <c r="B18" s="2" t="s">
        <v>13</v>
      </c>
      <c r="C18" s="3">
        <v>0</v>
      </c>
    </row>
    <row r="19" spans="1:4" ht="26" x14ac:dyDescent="0.35">
      <c r="A19" s="1">
        <v>14</v>
      </c>
      <c r="B19" s="2" t="s">
        <v>14</v>
      </c>
      <c r="C19" s="3">
        <v>0</v>
      </c>
    </row>
    <row r="20" spans="1:4" ht="26" x14ac:dyDescent="0.35">
      <c r="A20" s="1">
        <v>15</v>
      </c>
      <c r="B20" s="2" t="s">
        <v>15</v>
      </c>
      <c r="C20" s="3">
        <v>0</v>
      </c>
    </row>
    <row r="21" spans="1:4" x14ac:dyDescent="0.35">
      <c r="A21" s="1">
        <v>16</v>
      </c>
      <c r="B21" s="2" t="s">
        <v>16</v>
      </c>
      <c r="C21" s="3">
        <v>0</v>
      </c>
    </row>
    <row r="22" spans="1:4" x14ac:dyDescent="0.35">
      <c r="A22" s="1">
        <v>17</v>
      </c>
      <c r="B22" s="2" t="s">
        <v>17</v>
      </c>
      <c r="C22" s="3">
        <v>0</v>
      </c>
    </row>
    <row r="23" spans="1:4" ht="26" x14ac:dyDescent="0.35">
      <c r="A23" s="1">
        <v>18</v>
      </c>
      <c r="B23" s="2" t="s">
        <v>18</v>
      </c>
      <c r="C23" s="3">
        <v>0</v>
      </c>
    </row>
    <row r="24" spans="1:4" ht="26" x14ac:dyDescent="0.35">
      <c r="A24" s="1">
        <v>19</v>
      </c>
      <c r="B24" s="2" t="s">
        <v>19</v>
      </c>
      <c r="C24" s="3">
        <v>0</v>
      </c>
    </row>
    <row r="25" spans="1:4" ht="26" x14ac:dyDescent="0.35">
      <c r="A25" s="1">
        <v>20</v>
      </c>
      <c r="B25" s="2" t="s">
        <v>20</v>
      </c>
      <c r="C25" s="3">
        <v>16</v>
      </c>
      <c r="D25" s="4" t="s">
        <v>78</v>
      </c>
    </row>
    <row r="26" spans="1:4" x14ac:dyDescent="0.35">
      <c r="A26" s="1">
        <v>21</v>
      </c>
      <c r="B26" s="2" t="s">
        <v>38</v>
      </c>
      <c r="C26" s="3">
        <v>77</v>
      </c>
      <c r="D26" s="6" t="s">
        <v>66</v>
      </c>
    </row>
    <row r="27" spans="1:4" x14ac:dyDescent="0.35">
      <c r="A27" s="1"/>
      <c r="B27" s="118" t="s">
        <v>21</v>
      </c>
      <c r="C27" s="119"/>
    </row>
    <row r="28" spans="1:4" x14ac:dyDescent="0.35">
      <c r="A28" s="1">
        <v>22</v>
      </c>
      <c r="B28" s="2" t="s">
        <v>48</v>
      </c>
      <c r="C28" s="3">
        <v>0</v>
      </c>
    </row>
    <row r="29" spans="1:4" x14ac:dyDescent="0.35">
      <c r="A29" s="1">
        <v>23</v>
      </c>
      <c r="B29" s="2" t="s">
        <v>49</v>
      </c>
      <c r="C29" s="3">
        <v>0</v>
      </c>
    </row>
    <row r="30" spans="1:4" ht="26" x14ac:dyDescent="0.35">
      <c r="A30" s="1">
        <v>24</v>
      </c>
      <c r="B30" s="2" t="s">
        <v>42</v>
      </c>
      <c r="C30" s="3">
        <v>0</v>
      </c>
    </row>
    <row r="31" spans="1:4" ht="39" x14ac:dyDescent="0.35">
      <c r="A31" s="1">
        <v>25</v>
      </c>
      <c r="B31" s="2" t="s">
        <v>50</v>
      </c>
      <c r="C31" s="3">
        <v>2</v>
      </c>
      <c r="D31" s="4" t="s">
        <v>67</v>
      </c>
    </row>
    <row r="32" spans="1:4" ht="39" x14ac:dyDescent="0.35">
      <c r="A32" s="1">
        <v>26</v>
      </c>
      <c r="B32" s="2" t="s">
        <v>51</v>
      </c>
      <c r="C32" s="3">
        <v>8</v>
      </c>
      <c r="D32" s="4" t="s">
        <v>68</v>
      </c>
    </row>
    <row r="33" spans="1:5" x14ac:dyDescent="0.35">
      <c r="A33" s="1">
        <v>27</v>
      </c>
      <c r="B33" s="2" t="s">
        <v>46</v>
      </c>
      <c r="C33" s="3">
        <v>0</v>
      </c>
    </row>
    <row r="34" spans="1:5" x14ac:dyDescent="0.35">
      <c r="A34" s="1">
        <v>28</v>
      </c>
      <c r="B34" s="2" t="s">
        <v>47</v>
      </c>
      <c r="C34" s="3">
        <v>0</v>
      </c>
    </row>
    <row r="35" spans="1:5" ht="26" x14ac:dyDescent="0.35">
      <c r="A35" s="1">
        <v>29</v>
      </c>
      <c r="B35" s="2" t="s">
        <v>22</v>
      </c>
      <c r="C35" s="3">
        <v>10</v>
      </c>
      <c r="D35" s="4" t="s">
        <v>69</v>
      </c>
    </row>
    <row r="36" spans="1:5" x14ac:dyDescent="0.35">
      <c r="A36" s="1">
        <v>30</v>
      </c>
      <c r="B36" s="2" t="s">
        <v>23</v>
      </c>
      <c r="C36" s="3">
        <v>62</v>
      </c>
      <c r="D36" s="4" t="s">
        <v>70</v>
      </c>
    </row>
    <row r="37" spans="1:5" x14ac:dyDescent="0.35">
      <c r="A37" s="1">
        <v>31</v>
      </c>
      <c r="B37" s="2" t="s">
        <v>24</v>
      </c>
      <c r="C37" s="3">
        <v>29</v>
      </c>
      <c r="D37" s="4" t="s">
        <v>71</v>
      </c>
    </row>
    <row r="38" spans="1:5" ht="29" x14ac:dyDescent="0.35">
      <c r="A38" s="1">
        <v>32</v>
      </c>
      <c r="B38" s="2" t="s">
        <v>37</v>
      </c>
      <c r="C38" s="3">
        <v>5</v>
      </c>
      <c r="D38" s="6" t="s">
        <v>61</v>
      </c>
    </row>
    <row r="39" spans="1:5" ht="26" x14ac:dyDescent="0.35">
      <c r="A39" s="1">
        <v>33</v>
      </c>
      <c r="B39" s="2" t="s">
        <v>25</v>
      </c>
      <c r="C39" s="3">
        <v>0</v>
      </c>
    </row>
    <row r="40" spans="1:5" x14ac:dyDescent="0.35">
      <c r="A40" s="1">
        <v>34</v>
      </c>
      <c r="B40" s="2" t="s">
        <v>39</v>
      </c>
      <c r="C40" s="3">
        <v>8</v>
      </c>
      <c r="D40" s="4" t="s">
        <v>72</v>
      </c>
    </row>
    <row r="41" spans="1:5" x14ac:dyDescent="0.35">
      <c r="A41" s="1">
        <v>35</v>
      </c>
      <c r="B41" s="2" t="s">
        <v>26</v>
      </c>
      <c r="C41" s="3">
        <v>2</v>
      </c>
      <c r="D41" s="4" t="s">
        <v>77</v>
      </c>
    </row>
    <row r="42" spans="1:5" ht="26" x14ac:dyDescent="0.35">
      <c r="A42" s="1">
        <v>36</v>
      </c>
      <c r="B42" s="2" t="s">
        <v>43</v>
      </c>
      <c r="C42" s="3">
        <v>0</v>
      </c>
    </row>
    <row r="43" spans="1:5" x14ac:dyDescent="0.35">
      <c r="A43" s="1"/>
      <c r="B43" s="118" t="s">
        <v>27</v>
      </c>
      <c r="C43" s="119"/>
    </row>
    <row r="44" spans="1:5" ht="26" x14ac:dyDescent="0.35">
      <c r="A44" s="1">
        <v>37</v>
      </c>
      <c r="B44" s="2" t="s">
        <v>28</v>
      </c>
      <c r="C44" s="3">
        <v>68</v>
      </c>
      <c r="D44" s="4" t="s">
        <v>73</v>
      </c>
    </row>
    <row r="45" spans="1:5" ht="47.25" customHeight="1" x14ac:dyDescent="0.35">
      <c r="A45" s="1">
        <v>38</v>
      </c>
      <c r="B45" s="2" t="s">
        <v>52</v>
      </c>
      <c r="C45" s="3">
        <v>1</v>
      </c>
      <c r="D45" s="4" t="s">
        <v>57</v>
      </c>
      <c r="E45" s="10"/>
    </row>
    <row r="46" spans="1:5" ht="25.5" customHeight="1" x14ac:dyDescent="0.35">
      <c r="A46" s="1">
        <v>39</v>
      </c>
      <c r="B46" s="2" t="s">
        <v>40</v>
      </c>
      <c r="C46" s="3">
        <v>21</v>
      </c>
    </row>
    <row r="47" spans="1:5" ht="25.5" customHeight="1" x14ac:dyDescent="0.35">
      <c r="A47" s="1">
        <v>40</v>
      </c>
      <c r="B47" s="2" t="s">
        <v>41</v>
      </c>
      <c r="C47" s="3">
        <v>419</v>
      </c>
      <c r="D47" s="4" t="s">
        <v>64</v>
      </c>
    </row>
    <row r="48" spans="1:5" ht="29" x14ac:dyDescent="0.35">
      <c r="A48" s="1">
        <v>41</v>
      </c>
      <c r="B48" s="2" t="s">
        <v>33</v>
      </c>
      <c r="C48" s="115">
        <v>4</v>
      </c>
      <c r="D48" s="114" t="s">
        <v>74</v>
      </c>
    </row>
    <row r="49" spans="1:4" ht="26" x14ac:dyDescent="0.35">
      <c r="A49" s="1">
        <v>42</v>
      </c>
      <c r="B49" s="2" t="s">
        <v>53</v>
      </c>
      <c r="C49" s="3">
        <v>0</v>
      </c>
    </row>
    <row r="50" spans="1:4" x14ac:dyDescent="0.35">
      <c r="A50" s="1">
        <v>43</v>
      </c>
      <c r="B50" s="2" t="s">
        <v>34</v>
      </c>
      <c r="C50" s="3">
        <v>55</v>
      </c>
      <c r="D50" s="6" t="s">
        <v>75</v>
      </c>
    </row>
    <row r="51" spans="1:4" ht="26" x14ac:dyDescent="0.35">
      <c r="A51" s="1">
        <v>44</v>
      </c>
      <c r="B51" s="2" t="s">
        <v>55</v>
      </c>
      <c r="C51" s="3">
        <v>10</v>
      </c>
      <c r="D51" s="4" t="s">
        <v>76</v>
      </c>
    </row>
    <row r="52" spans="1:4" ht="26" x14ac:dyDescent="0.35">
      <c r="A52" s="1">
        <v>45</v>
      </c>
      <c r="B52" s="2" t="s">
        <v>54</v>
      </c>
      <c r="C52" s="3">
        <v>325</v>
      </c>
    </row>
    <row r="53" spans="1:4" x14ac:dyDescent="0.35">
      <c r="A53" s="1"/>
      <c r="B53" s="118" t="s">
        <v>29</v>
      </c>
      <c r="C53" s="119"/>
    </row>
    <row r="54" spans="1:4" ht="26" x14ac:dyDescent="0.35">
      <c r="A54" s="1">
        <v>46</v>
      </c>
      <c r="B54" s="2" t="s">
        <v>30</v>
      </c>
      <c r="C54" s="3">
        <v>467</v>
      </c>
    </row>
    <row r="55" spans="1:4" x14ac:dyDescent="0.35">
      <c r="A55" s="11"/>
      <c r="B55" s="118" t="s">
        <v>31</v>
      </c>
      <c r="C55" s="119"/>
    </row>
    <row r="56" spans="1:4" ht="65.25" customHeight="1" x14ac:dyDescent="0.35">
      <c r="A56" s="1">
        <v>47</v>
      </c>
      <c r="B56" s="2" t="s">
        <v>35</v>
      </c>
      <c r="C56" s="3">
        <v>5</v>
      </c>
      <c r="D56" s="6" t="s">
        <v>63</v>
      </c>
    </row>
    <row r="57" spans="1:4" ht="29" x14ac:dyDescent="0.35">
      <c r="A57" s="1">
        <v>48</v>
      </c>
      <c r="B57" s="9" t="s">
        <v>36</v>
      </c>
      <c r="C57" s="3">
        <v>9</v>
      </c>
      <c r="D57" s="6" t="s">
        <v>62</v>
      </c>
    </row>
    <row r="58" spans="1:4" x14ac:dyDescent="0.35">
      <c r="A58" s="12"/>
    </row>
  </sheetData>
  <mergeCells count="8">
    <mergeCell ref="B53:C53"/>
    <mergeCell ref="B55:C55"/>
    <mergeCell ref="B4:C4"/>
    <mergeCell ref="A1:C1"/>
    <mergeCell ref="A2:C2"/>
    <mergeCell ref="B12:C12"/>
    <mergeCell ref="B27:C27"/>
    <mergeCell ref="B43:C43"/>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9E81-96B0-4FB9-B9A2-9465B74351B7}">
  <dimension ref="A1:D57"/>
  <sheetViews>
    <sheetView topLeftCell="A38" workbookViewId="0">
      <selection activeCell="C42" sqref="C42"/>
    </sheetView>
  </sheetViews>
  <sheetFormatPr defaultRowHeight="14.5" x14ac:dyDescent="0.35"/>
  <cols>
    <col min="2" max="2" width="24.1796875" customWidth="1"/>
    <col min="3" max="3" width="15" customWidth="1"/>
    <col min="4" max="4" width="46.7265625" customWidth="1"/>
  </cols>
  <sheetData>
    <row r="1" spans="1:4" x14ac:dyDescent="0.35">
      <c r="A1" s="125" t="s">
        <v>79</v>
      </c>
      <c r="B1" s="126"/>
      <c r="C1" s="126"/>
    </row>
    <row r="2" spans="1:4" x14ac:dyDescent="0.35">
      <c r="A2" s="126" t="s">
        <v>80</v>
      </c>
      <c r="B2" s="126"/>
      <c r="C2" s="126"/>
    </row>
    <row r="3" spans="1:4" ht="26" x14ac:dyDescent="0.35">
      <c r="A3" s="7" t="s">
        <v>0</v>
      </c>
      <c r="B3" s="8" t="s">
        <v>1</v>
      </c>
      <c r="C3" s="13" t="s">
        <v>81</v>
      </c>
      <c r="D3" s="5"/>
    </row>
    <row r="4" spans="1:4" x14ac:dyDescent="0.35">
      <c r="B4" s="118" t="s">
        <v>2</v>
      </c>
      <c r="C4" s="119"/>
      <c r="D4" s="5"/>
    </row>
    <row r="5" spans="1:4" ht="26" x14ac:dyDescent="0.35">
      <c r="A5" s="16">
        <v>1</v>
      </c>
      <c r="B5" s="14" t="s">
        <v>44</v>
      </c>
      <c r="C5" s="17">
        <v>0</v>
      </c>
      <c r="D5" s="19"/>
    </row>
    <row r="6" spans="1:4" ht="26" x14ac:dyDescent="0.35">
      <c r="A6" s="16">
        <v>2</v>
      </c>
      <c r="B6" s="14" t="s">
        <v>45</v>
      </c>
      <c r="C6" s="17">
        <v>0</v>
      </c>
      <c r="D6" s="19"/>
    </row>
    <row r="7" spans="1:4" ht="26" x14ac:dyDescent="0.35">
      <c r="A7" s="16">
        <v>3</v>
      </c>
      <c r="B7" s="14" t="s">
        <v>3</v>
      </c>
      <c r="C7" s="18">
        <v>0</v>
      </c>
      <c r="D7" s="19"/>
    </row>
    <row r="8" spans="1:4" ht="52" x14ac:dyDescent="0.35">
      <c r="A8" s="16">
        <v>4</v>
      </c>
      <c r="B8" s="14" t="s">
        <v>4</v>
      </c>
      <c r="C8" s="18">
        <v>33</v>
      </c>
      <c r="D8" s="19" t="s">
        <v>82</v>
      </c>
    </row>
    <row r="9" spans="1:4" ht="39" x14ac:dyDescent="0.35">
      <c r="A9" s="16">
        <v>5</v>
      </c>
      <c r="B9" s="14" t="s">
        <v>5</v>
      </c>
      <c r="C9" s="18">
        <v>0</v>
      </c>
      <c r="D9" s="19"/>
    </row>
    <row r="10" spans="1:4" ht="26" x14ac:dyDescent="0.35">
      <c r="A10" s="16">
        <v>6</v>
      </c>
      <c r="B10" s="14" t="s">
        <v>6</v>
      </c>
      <c r="C10" s="18">
        <v>0</v>
      </c>
      <c r="D10" s="19"/>
    </row>
    <row r="11" spans="1:4" ht="39" x14ac:dyDescent="0.35">
      <c r="A11" s="16">
        <v>7</v>
      </c>
      <c r="B11" s="14" t="s">
        <v>32</v>
      </c>
      <c r="C11" s="18">
        <v>0</v>
      </c>
      <c r="D11" s="19"/>
    </row>
    <row r="12" spans="1:4" x14ac:dyDescent="0.35">
      <c r="B12" s="123" t="s">
        <v>7</v>
      </c>
      <c r="C12" s="124"/>
      <c r="D12" s="19"/>
    </row>
    <row r="13" spans="1:4" ht="39" x14ac:dyDescent="0.35">
      <c r="A13" s="18">
        <v>8</v>
      </c>
      <c r="B13" s="14" t="s">
        <v>8</v>
      </c>
      <c r="C13" s="18">
        <v>0</v>
      </c>
      <c r="D13" s="19" t="s">
        <v>83</v>
      </c>
    </row>
    <row r="14" spans="1:4" ht="26" x14ac:dyDescent="0.35">
      <c r="A14" s="18">
        <v>9</v>
      </c>
      <c r="B14" s="14" t="s">
        <v>9</v>
      </c>
      <c r="C14" s="18">
        <v>0</v>
      </c>
      <c r="D14" s="19"/>
    </row>
    <row r="15" spans="1:4" ht="26" x14ac:dyDescent="0.35">
      <c r="A15" s="18">
        <v>10</v>
      </c>
      <c r="B15" s="14" t="s">
        <v>10</v>
      </c>
      <c r="C15" s="18">
        <v>0</v>
      </c>
      <c r="D15" s="19"/>
    </row>
    <row r="16" spans="1:4" ht="26" x14ac:dyDescent="0.35">
      <c r="A16" s="18">
        <v>11</v>
      </c>
      <c r="B16" s="14" t="s">
        <v>11</v>
      </c>
      <c r="C16" s="18">
        <v>0</v>
      </c>
      <c r="D16" s="19"/>
    </row>
    <row r="17" spans="1:4" ht="39" x14ac:dyDescent="0.35">
      <c r="A17" s="18">
        <v>12</v>
      </c>
      <c r="B17" s="14" t="s">
        <v>12</v>
      </c>
      <c r="C17" s="18">
        <v>0</v>
      </c>
      <c r="D17" s="19"/>
    </row>
    <row r="18" spans="1:4" ht="26" x14ac:dyDescent="0.35">
      <c r="A18" s="18">
        <v>13</v>
      </c>
      <c r="B18" s="14" t="s">
        <v>13</v>
      </c>
      <c r="C18" s="18">
        <v>0</v>
      </c>
      <c r="D18" s="19"/>
    </row>
    <row r="19" spans="1:4" ht="26" x14ac:dyDescent="0.35">
      <c r="A19" s="18">
        <v>14</v>
      </c>
      <c r="B19" s="14" t="s">
        <v>14</v>
      </c>
      <c r="C19" s="18">
        <v>0</v>
      </c>
      <c r="D19" s="19"/>
    </row>
    <row r="20" spans="1:4" ht="26" x14ac:dyDescent="0.35">
      <c r="A20" s="18">
        <v>15</v>
      </c>
      <c r="B20" s="14" t="s">
        <v>15</v>
      </c>
      <c r="C20" s="18">
        <v>0</v>
      </c>
      <c r="D20" s="19"/>
    </row>
    <row r="21" spans="1:4" ht="26" x14ac:dyDescent="0.35">
      <c r="A21" s="18">
        <v>16</v>
      </c>
      <c r="B21" s="14" t="s">
        <v>16</v>
      </c>
      <c r="C21" s="18">
        <v>0</v>
      </c>
      <c r="D21" s="19"/>
    </row>
    <row r="22" spans="1:4" x14ac:dyDescent="0.35">
      <c r="A22" s="18">
        <v>17</v>
      </c>
      <c r="B22" s="14" t="s">
        <v>17</v>
      </c>
      <c r="C22" s="18">
        <v>0</v>
      </c>
      <c r="D22" s="19"/>
    </row>
    <row r="23" spans="1:4" ht="26" x14ac:dyDescent="0.35">
      <c r="A23" s="18">
        <v>18</v>
      </c>
      <c r="B23" s="14" t="s">
        <v>18</v>
      </c>
      <c r="C23" s="18">
        <v>0</v>
      </c>
      <c r="D23" s="19"/>
    </row>
    <row r="24" spans="1:4" ht="26" x14ac:dyDescent="0.35">
      <c r="A24" s="18">
        <v>19</v>
      </c>
      <c r="B24" s="14" t="s">
        <v>19</v>
      </c>
      <c r="C24" s="18">
        <v>0</v>
      </c>
      <c r="D24" s="19"/>
    </row>
    <row r="25" spans="1:4" ht="29" x14ac:dyDescent="0.35">
      <c r="A25" s="18">
        <v>20</v>
      </c>
      <c r="B25" s="14" t="s">
        <v>20</v>
      </c>
      <c r="C25" s="18">
        <v>5</v>
      </c>
      <c r="D25" s="20" t="s">
        <v>84</v>
      </c>
    </row>
    <row r="26" spans="1:4" ht="26" x14ac:dyDescent="0.35">
      <c r="A26" s="18">
        <v>21</v>
      </c>
      <c r="B26" s="14" t="s">
        <v>38</v>
      </c>
      <c r="C26" s="18">
        <v>12</v>
      </c>
      <c r="D26" s="19" t="s">
        <v>85</v>
      </c>
    </row>
    <row r="27" spans="1:4" x14ac:dyDescent="0.35">
      <c r="A27" s="18"/>
      <c r="B27" s="123" t="s">
        <v>21</v>
      </c>
      <c r="C27" s="124"/>
      <c r="D27" s="19"/>
    </row>
    <row r="28" spans="1:4" ht="26" x14ac:dyDescent="0.35">
      <c r="A28" s="18">
        <v>22</v>
      </c>
      <c r="B28" s="14" t="s">
        <v>48</v>
      </c>
      <c r="C28" s="18">
        <v>0</v>
      </c>
      <c r="D28" s="21"/>
    </row>
    <row r="29" spans="1:4" ht="26" x14ac:dyDescent="0.35">
      <c r="A29" s="18">
        <v>23</v>
      </c>
      <c r="B29" s="14" t="s">
        <v>49</v>
      </c>
      <c r="C29" s="18">
        <v>0</v>
      </c>
      <c r="D29" s="21"/>
    </row>
    <row r="30" spans="1:4" ht="39" x14ac:dyDescent="0.35">
      <c r="A30" s="18">
        <v>24</v>
      </c>
      <c r="B30" s="14" t="s">
        <v>42</v>
      </c>
      <c r="C30" s="18">
        <v>0</v>
      </c>
      <c r="D30" s="22"/>
    </row>
    <row r="31" spans="1:4" ht="52" x14ac:dyDescent="0.35">
      <c r="A31" s="18">
        <v>25</v>
      </c>
      <c r="B31" s="14" t="s">
        <v>50</v>
      </c>
      <c r="C31" s="18">
        <v>9</v>
      </c>
      <c r="D31" s="23" t="s">
        <v>86</v>
      </c>
    </row>
    <row r="32" spans="1:4" ht="58" x14ac:dyDescent="0.35">
      <c r="A32" s="18">
        <v>26</v>
      </c>
      <c r="B32" s="14" t="s">
        <v>51</v>
      </c>
      <c r="C32" s="18">
        <v>16</v>
      </c>
      <c r="D32" s="23" t="s">
        <v>87</v>
      </c>
    </row>
    <row r="33" spans="1:4" ht="26" x14ac:dyDescent="0.35">
      <c r="A33" s="18">
        <v>27</v>
      </c>
      <c r="B33" s="14" t="s">
        <v>46</v>
      </c>
      <c r="C33" s="18">
        <v>0</v>
      </c>
      <c r="D33" s="19"/>
    </row>
    <row r="34" spans="1:4" ht="26" x14ac:dyDescent="0.35">
      <c r="A34" s="18">
        <v>28</v>
      </c>
      <c r="B34" s="14" t="s">
        <v>47</v>
      </c>
      <c r="C34" s="18">
        <v>0</v>
      </c>
      <c r="D34" s="19"/>
    </row>
    <row r="35" spans="1:4" ht="72.5" x14ac:dyDescent="0.35">
      <c r="A35" s="18">
        <v>29</v>
      </c>
      <c r="B35" s="14" t="s">
        <v>22</v>
      </c>
      <c r="C35" s="18">
        <v>17</v>
      </c>
      <c r="D35" s="24" t="s">
        <v>88</v>
      </c>
    </row>
    <row r="36" spans="1:4" ht="26" x14ac:dyDescent="0.35">
      <c r="A36" s="18">
        <v>30</v>
      </c>
      <c r="B36" s="14" t="s">
        <v>23</v>
      </c>
      <c r="C36" s="18">
        <v>0</v>
      </c>
      <c r="D36" s="19"/>
    </row>
    <row r="37" spans="1:4" ht="72.5" x14ac:dyDescent="0.35">
      <c r="A37" s="18">
        <v>31</v>
      </c>
      <c r="B37" s="14" t="s">
        <v>24</v>
      </c>
      <c r="C37" s="18">
        <v>17</v>
      </c>
      <c r="D37" s="24" t="s">
        <v>88</v>
      </c>
    </row>
    <row r="38" spans="1:4" ht="39" x14ac:dyDescent="0.35">
      <c r="A38" s="18">
        <v>32</v>
      </c>
      <c r="B38" s="14" t="s">
        <v>37</v>
      </c>
      <c r="C38" s="18">
        <v>0</v>
      </c>
      <c r="D38" s="19"/>
    </row>
    <row r="39" spans="1:4" ht="39" x14ac:dyDescent="0.35">
      <c r="A39" s="18">
        <v>33</v>
      </c>
      <c r="B39" s="14" t="s">
        <v>25</v>
      </c>
      <c r="C39" s="18">
        <v>0</v>
      </c>
      <c r="D39" s="19"/>
    </row>
    <row r="40" spans="1:4" ht="26" x14ac:dyDescent="0.35">
      <c r="A40" s="18">
        <v>34</v>
      </c>
      <c r="B40" s="14" t="s">
        <v>39</v>
      </c>
      <c r="C40" s="18">
        <v>9</v>
      </c>
      <c r="D40" s="19"/>
    </row>
    <row r="41" spans="1:4" ht="26" x14ac:dyDescent="0.35">
      <c r="A41" s="18">
        <v>35</v>
      </c>
      <c r="B41" s="14" t="s">
        <v>26</v>
      </c>
      <c r="C41" s="18">
        <v>0</v>
      </c>
      <c r="D41" s="25"/>
    </row>
    <row r="42" spans="1:4" ht="26" x14ac:dyDescent="0.35">
      <c r="A42" s="18">
        <v>36</v>
      </c>
      <c r="B42" s="14" t="s">
        <v>43</v>
      </c>
      <c r="C42" s="18">
        <v>2</v>
      </c>
      <c r="D42" s="25"/>
    </row>
    <row r="43" spans="1:4" x14ac:dyDescent="0.35">
      <c r="A43" s="18"/>
      <c r="B43" s="123" t="s">
        <v>27</v>
      </c>
      <c r="C43" s="124"/>
      <c r="D43" s="19"/>
    </row>
    <row r="44" spans="1:4" ht="26" x14ac:dyDescent="0.35">
      <c r="A44" s="18">
        <v>37</v>
      </c>
      <c r="B44" s="14" t="s">
        <v>28</v>
      </c>
      <c r="C44" s="18">
        <v>25</v>
      </c>
      <c r="D44" s="19"/>
    </row>
    <row r="45" spans="1:4" ht="39" x14ac:dyDescent="0.35">
      <c r="A45" s="18">
        <v>38</v>
      </c>
      <c r="B45" s="14" t="s">
        <v>52</v>
      </c>
      <c r="C45" s="112">
        <v>1</v>
      </c>
      <c r="D45" s="19" t="s">
        <v>89</v>
      </c>
    </row>
    <row r="46" spans="1:4" ht="26" x14ac:dyDescent="0.35">
      <c r="A46" s="18">
        <v>39</v>
      </c>
      <c r="B46" s="14" t="s">
        <v>40</v>
      </c>
      <c r="C46" s="18">
        <v>36</v>
      </c>
      <c r="D46" s="19"/>
    </row>
    <row r="47" spans="1:4" ht="39" x14ac:dyDescent="0.4">
      <c r="A47" s="18">
        <v>40</v>
      </c>
      <c r="B47" s="14" t="s">
        <v>41</v>
      </c>
      <c r="C47" s="18">
        <v>472</v>
      </c>
      <c r="D47" s="26"/>
    </row>
    <row r="48" spans="1:4" ht="26" x14ac:dyDescent="0.35">
      <c r="A48" s="18">
        <v>41</v>
      </c>
      <c r="B48" s="14" t="s">
        <v>33</v>
      </c>
      <c r="C48" s="18">
        <v>0</v>
      </c>
      <c r="D48" s="19"/>
    </row>
    <row r="49" spans="1:4" ht="26" x14ac:dyDescent="0.35">
      <c r="A49" s="18">
        <v>42</v>
      </c>
      <c r="B49" s="14" t="s">
        <v>53</v>
      </c>
      <c r="C49" s="112">
        <v>4</v>
      </c>
      <c r="D49" s="113" t="s">
        <v>167</v>
      </c>
    </row>
    <row r="50" spans="1:4" ht="58" x14ac:dyDescent="0.35">
      <c r="A50" s="18">
        <v>43</v>
      </c>
      <c r="B50" s="14" t="s">
        <v>34</v>
      </c>
      <c r="C50" s="18">
        <v>14</v>
      </c>
      <c r="D50" s="27" t="s">
        <v>90</v>
      </c>
    </row>
    <row r="51" spans="1:4" ht="52" x14ac:dyDescent="0.35">
      <c r="A51" s="18">
        <v>44</v>
      </c>
      <c r="B51" s="14" t="s">
        <v>55</v>
      </c>
      <c r="C51" s="18">
        <v>14</v>
      </c>
      <c r="D51" s="20" t="s">
        <v>91</v>
      </c>
    </row>
    <row r="52" spans="1:4" ht="52" x14ac:dyDescent="0.35">
      <c r="A52" s="18">
        <v>45</v>
      </c>
      <c r="B52" s="14" t="s">
        <v>54</v>
      </c>
      <c r="C52" s="18">
        <v>246</v>
      </c>
      <c r="D52" s="20" t="s">
        <v>92</v>
      </c>
    </row>
    <row r="53" spans="1:4" x14ac:dyDescent="0.35">
      <c r="A53" s="18"/>
      <c r="B53" s="123" t="s">
        <v>29</v>
      </c>
      <c r="C53" s="124"/>
      <c r="D53" s="19"/>
    </row>
    <row r="54" spans="1:4" ht="39" x14ac:dyDescent="0.35">
      <c r="A54" s="18">
        <v>46</v>
      </c>
      <c r="B54" s="14" t="s">
        <v>30</v>
      </c>
      <c r="C54" s="18">
        <v>146</v>
      </c>
      <c r="D54" s="19" t="s">
        <v>93</v>
      </c>
    </row>
    <row r="55" spans="1:4" x14ac:dyDescent="0.35">
      <c r="A55" s="30"/>
      <c r="B55" s="123" t="s">
        <v>31</v>
      </c>
      <c r="C55" s="124"/>
      <c r="D55" s="19"/>
    </row>
    <row r="56" spans="1:4" ht="126" x14ac:dyDescent="0.35">
      <c r="A56" s="18">
        <v>47</v>
      </c>
      <c r="B56" s="14" t="s">
        <v>35</v>
      </c>
      <c r="C56" s="5">
        <v>5</v>
      </c>
      <c r="D56" s="28" t="s">
        <v>94</v>
      </c>
    </row>
    <row r="57" spans="1:4" ht="72.5" x14ac:dyDescent="0.35">
      <c r="A57" s="18">
        <v>48</v>
      </c>
      <c r="B57" s="29" t="s">
        <v>36</v>
      </c>
      <c r="C57" s="5">
        <v>5</v>
      </c>
      <c r="D57" s="21" t="s">
        <v>95</v>
      </c>
    </row>
  </sheetData>
  <mergeCells count="8">
    <mergeCell ref="B43:C43"/>
    <mergeCell ref="B53:C53"/>
    <mergeCell ref="B55:C55"/>
    <mergeCell ref="A1:C1"/>
    <mergeCell ref="A2:C2"/>
    <mergeCell ref="B4:C4"/>
    <mergeCell ref="B12:C12"/>
    <mergeCell ref="B27:C2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ED21-40EA-43A5-8986-6860684818C0}">
  <dimension ref="A1:F64"/>
  <sheetViews>
    <sheetView topLeftCell="A38" zoomScale="84" workbookViewId="0">
      <selection activeCell="E42" sqref="E42"/>
    </sheetView>
  </sheetViews>
  <sheetFormatPr defaultRowHeight="14.5" x14ac:dyDescent="0.35"/>
  <cols>
    <col min="2" max="2" width="55.1796875" customWidth="1"/>
    <col min="6" max="6" width="74.7265625" customWidth="1"/>
  </cols>
  <sheetData>
    <row r="1" spans="1:6" x14ac:dyDescent="0.35">
      <c r="A1" s="125" t="s">
        <v>136</v>
      </c>
      <c r="B1" s="126"/>
      <c r="C1" s="126"/>
      <c r="D1" s="52"/>
      <c r="E1" s="52"/>
      <c r="F1" s="44"/>
    </row>
    <row r="2" spans="1:6" x14ac:dyDescent="0.35">
      <c r="A2" s="126" t="s">
        <v>80</v>
      </c>
      <c r="B2" s="126"/>
      <c r="C2" s="126"/>
      <c r="D2" s="52"/>
      <c r="E2" s="52"/>
      <c r="F2" s="44"/>
    </row>
    <row r="3" spans="1:6" x14ac:dyDescent="0.35">
      <c r="A3" s="98" t="s">
        <v>0</v>
      </c>
      <c r="B3" s="99" t="s">
        <v>1</v>
      </c>
      <c r="C3" s="100"/>
      <c r="D3" s="100"/>
      <c r="E3" s="100"/>
      <c r="F3" s="44"/>
    </row>
    <row r="4" spans="1:6" x14ac:dyDescent="0.35">
      <c r="A4" s="83"/>
      <c r="B4" s="81" t="s">
        <v>2</v>
      </c>
      <c r="C4" s="94" t="s">
        <v>137</v>
      </c>
      <c r="D4" s="94" t="s">
        <v>138</v>
      </c>
      <c r="E4" s="94" t="s">
        <v>139</v>
      </c>
      <c r="F4" s="101" t="s">
        <v>140</v>
      </c>
    </row>
    <row r="5" spans="1:6" x14ac:dyDescent="0.35">
      <c r="A5" s="83">
        <v>1</v>
      </c>
      <c r="B5" s="85" t="s">
        <v>44</v>
      </c>
      <c r="C5" s="86">
        <v>0</v>
      </c>
      <c r="D5" s="52">
        <v>0</v>
      </c>
      <c r="E5" s="52">
        <v>0</v>
      </c>
      <c r="F5" s="44"/>
    </row>
    <row r="6" spans="1:6" x14ac:dyDescent="0.35">
      <c r="A6" s="83">
        <v>2</v>
      </c>
      <c r="B6" s="85" t="s">
        <v>45</v>
      </c>
      <c r="C6" s="86">
        <v>0</v>
      </c>
      <c r="D6" s="52">
        <v>0</v>
      </c>
      <c r="E6" s="52">
        <v>0</v>
      </c>
      <c r="F6" s="20"/>
    </row>
    <row r="7" spans="1:6" x14ac:dyDescent="0.35">
      <c r="A7" s="83">
        <v>3</v>
      </c>
      <c r="B7" s="85" t="s">
        <v>3</v>
      </c>
      <c r="C7" s="86">
        <v>0</v>
      </c>
      <c r="D7" s="52">
        <v>0</v>
      </c>
      <c r="E7" s="52">
        <v>0</v>
      </c>
      <c r="F7" s="44"/>
    </row>
    <row r="8" spans="1:6" ht="29" x14ac:dyDescent="0.35">
      <c r="A8" s="83">
        <v>4</v>
      </c>
      <c r="B8" s="85" t="s">
        <v>4</v>
      </c>
      <c r="C8" s="86">
        <v>0</v>
      </c>
      <c r="D8" s="52">
        <v>0</v>
      </c>
      <c r="E8" s="87">
        <v>0</v>
      </c>
      <c r="F8" s="44"/>
    </row>
    <row r="9" spans="1:6" ht="29" x14ac:dyDescent="0.35">
      <c r="A9" s="83">
        <v>5</v>
      </c>
      <c r="B9" s="85" t="s">
        <v>5</v>
      </c>
      <c r="C9" s="86">
        <v>0</v>
      </c>
      <c r="D9" s="52">
        <v>0</v>
      </c>
      <c r="E9" s="52">
        <v>0</v>
      </c>
      <c r="F9" s="44"/>
    </row>
    <row r="10" spans="1:6" x14ac:dyDescent="0.35">
      <c r="A10" s="83">
        <v>6</v>
      </c>
      <c r="B10" s="85" t="s">
        <v>6</v>
      </c>
      <c r="C10" s="86">
        <v>0</v>
      </c>
      <c r="D10" s="52">
        <v>0</v>
      </c>
      <c r="E10" s="52">
        <v>0</v>
      </c>
      <c r="F10" s="20"/>
    </row>
    <row r="11" spans="1:6" x14ac:dyDescent="0.35">
      <c r="A11" s="83">
        <v>7</v>
      </c>
      <c r="B11" s="85" t="s">
        <v>32</v>
      </c>
      <c r="C11" s="86">
        <v>0</v>
      </c>
      <c r="D11" s="52">
        <v>0</v>
      </c>
      <c r="E11" s="52">
        <v>0</v>
      </c>
      <c r="F11" s="44"/>
    </row>
    <row r="12" spans="1:6" x14ac:dyDescent="0.35">
      <c r="A12" s="83"/>
      <c r="B12" s="81" t="s">
        <v>7</v>
      </c>
      <c r="C12" s="127"/>
      <c r="D12" s="128"/>
      <c r="E12" s="129"/>
      <c r="F12" s="20"/>
    </row>
    <row r="13" spans="1:6" x14ac:dyDescent="0.35">
      <c r="A13" s="83">
        <v>8</v>
      </c>
      <c r="B13" s="85" t="s">
        <v>8</v>
      </c>
      <c r="C13" s="86">
        <v>0</v>
      </c>
      <c r="D13" s="52">
        <v>0</v>
      </c>
      <c r="E13" s="52">
        <v>0</v>
      </c>
      <c r="F13" s="20"/>
    </row>
    <row r="14" spans="1:6" x14ac:dyDescent="0.35">
      <c r="A14" s="83">
        <v>9</v>
      </c>
      <c r="B14" s="85" t="s">
        <v>9</v>
      </c>
      <c r="C14" s="86">
        <v>0</v>
      </c>
      <c r="D14" s="52">
        <v>0</v>
      </c>
      <c r="E14" s="52">
        <v>0</v>
      </c>
      <c r="F14" s="20"/>
    </row>
    <row r="15" spans="1:6" x14ac:dyDescent="0.35">
      <c r="A15" s="83">
        <v>10</v>
      </c>
      <c r="B15" s="85" t="s">
        <v>10</v>
      </c>
      <c r="C15" s="86">
        <v>0</v>
      </c>
      <c r="D15" s="52">
        <v>0</v>
      </c>
      <c r="E15" s="52">
        <v>0</v>
      </c>
      <c r="F15" s="44"/>
    </row>
    <row r="16" spans="1:6" x14ac:dyDescent="0.35">
      <c r="A16" s="83">
        <v>11</v>
      </c>
      <c r="B16" s="85" t="s">
        <v>11</v>
      </c>
      <c r="C16" s="86">
        <v>0</v>
      </c>
      <c r="D16" s="52">
        <v>0</v>
      </c>
      <c r="E16" s="52">
        <v>0</v>
      </c>
      <c r="F16" s="44"/>
    </row>
    <row r="17" spans="1:6" ht="29" x14ac:dyDescent="0.35">
      <c r="A17" s="83">
        <v>12</v>
      </c>
      <c r="B17" s="85" t="s">
        <v>12</v>
      </c>
      <c r="C17" s="86">
        <v>0</v>
      </c>
      <c r="D17" s="52">
        <v>0</v>
      </c>
      <c r="E17" s="52">
        <v>0</v>
      </c>
      <c r="F17" s="44"/>
    </row>
    <row r="18" spans="1:6" x14ac:dyDescent="0.35">
      <c r="A18" s="83">
        <v>13</v>
      </c>
      <c r="B18" s="85" t="s">
        <v>13</v>
      </c>
      <c r="C18" s="86">
        <v>0</v>
      </c>
      <c r="D18" s="52">
        <v>0</v>
      </c>
      <c r="E18" s="52">
        <v>0</v>
      </c>
      <c r="F18" s="44"/>
    </row>
    <row r="19" spans="1:6" x14ac:dyDescent="0.35">
      <c r="A19" s="83">
        <v>14</v>
      </c>
      <c r="B19" s="85" t="s">
        <v>14</v>
      </c>
      <c r="C19" s="86">
        <v>0</v>
      </c>
      <c r="D19" s="52">
        <v>0</v>
      </c>
      <c r="E19" s="52">
        <v>0</v>
      </c>
      <c r="F19" s="44"/>
    </row>
    <row r="20" spans="1:6" x14ac:dyDescent="0.35">
      <c r="A20" s="83">
        <v>15</v>
      </c>
      <c r="B20" s="85" t="s">
        <v>15</v>
      </c>
      <c r="C20" s="86">
        <v>0</v>
      </c>
      <c r="D20" s="52">
        <v>0</v>
      </c>
      <c r="E20" s="52">
        <v>0</v>
      </c>
      <c r="F20" s="44"/>
    </row>
    <row r="21" spans="1:6" x14ac:dyDescent="0.35">
      <c r="A21" s="83">
        <v>16</v>
      </c>
      <c r="B21" s="85" t="s">
        <v>16</v>
      </c>
      <c r="C21" s="86">
        <v>0</v>
      </c>
      <c r="D21" s="52">
        <v>0</v>
      </c>
      <c r="E21" s="52">
        <v>0</v>
      </c>
      <c r="F21" s="44"/>
    </row>
    <row r="22" spans="1:6" x14ac:dyDescent="0.35">
      <c r="A22" s="83">
        <v>17</v>
      </c>
      <c r="B22" s="85" t="s">
        <v>17</v>
      </c>
      <c r="C22" s="86">
        <v>0</v>
      </c>
      <c r="D22" s="52">
        <v>0</v>
      </c>
      <c r="E22" s="52">
        <v>0</v>
      </c>
      <c r="F22" s="44"/>
    </row>
    <row r="23" spans="1:6" x14ac:dyDescent="0.35">
      <c r="A23" s="83">
        <v>18</v>
      </c>
      <c r="B23" s="85" t="s">
        <v>18</v>
      </c>
      <c r="C23" s="86">
        <v>0</v>
      </c>
      <c r="D23" s="52">
        <v>0</v>
      </c>
      <c r="E23" s="52">
        <v>0</v>
      </c>
      <c r="F23" s="44"/>
    </row>
    <row r="24" spans="1:6" x14ac:dyDescent="0.35">
      <c r="A24" s="83">
        <v>19</v>
      </c>
      <c r="B24" s="85" t="s">
        <v>19</v>
      </c>
      <c r="C24" s="86">
        <v>0</v>
      </c>
      <c r="D24" s="52">
        <v>0</v>
      </c>
      <c r="E24" s="52">
        <v>0</v>
      </c>
      <c r="F24" s="44"/>
    </row>
    <row r="25" spans="1:6" x14ac:dyDescent="0.35">
      <c r="A25" s="83">
        <v>20</v>
      </c>
      <c r="B25" s="85" t="s">
        <v>20</v>
      </c>
      <c r="C25" s="86">
        <v>0</v>
      </c>
      <c r="D25" s="52">
        <v>0</v>
      </c>
      <c r="E25" s="52">
        <v>0</v>
      </c>
      <c r="F25" s="20"/>
    </row>
    <row r="26" spans="1:6" ht="87" x14ac:dyDescent="0.35">
      <c r="A26" s="83">
        <v>21</v>
      </c>
      <c r="B26" s="85" t="s">
        <v>38</v>
      </c>
      <c r="C26" s="86">
        <v>7</v>
      </c>
      <c r="D26" s="52"/>
      <c r="E26" s="52"/>
      <c r="F26" s="20" t="s">
        <v>141</v>
      </c>
    </row>
    <row r="27" spans="1:6" x14ac:dyDescent="0.35">
      <c r="A27" s="83"/>
      <c r="B27" s="81" t="s">
        <v>21</v>
      </c>
      <c r="C27" s="95"/>
      <c r="D27" s="96"/>
      <c r="E27" s="96"/>
      <c r="F27" s="44"/>
    </row>
    <row r="28" spans="1:6" x14ac:dyDescent="0.35">
      <c r="A28" s="83">
        <v>22</v>
      </c>
      <c r="B28" s="85" t="s">
        <v>48</v>
      </c>
      <c r="C28" s="85">
        <v>0</v>
      </c>
      <c r="D28" s="84">
        <v>0</v>
      </c>
      <c r="E28" s="84">
        <v>0</v>
      </c>
      <c r="F28" s="44"/>
    </row>
    <row r="29" spans="1:6" x14ac:dyDescent="0.35">
      <c r="A29" s="83">
        <v>23</v>
      </c>
      <c r="B29" s="85" t="s">
        <v>49</v>
      </c>
      <c r="C29" s="86">
        <v>0</v>
      </c>
      <c r="D29" s="52">
        <v>0</v>
      </c>
      <c r="E29" s="52">
        <v>0</v>
      </c>
      <c r="F29" s="44"/>
    </row>
    <row r="30" spans="1:6" ht="29" x14ac:dyDescent="0.35">
      <c r="A30" s="83">
        <v>24</v>
      </c>
      <c r="B30" s="85" t="s">
        <v>42</v>
      </c>
      <c r="C30" s="86">
        <v>0</v>
      </c>
      <c r="D30" s="52">
        <v>0</v>
      </c>
      <c r="E30" s="52">
        <v>0</v>
      </c>
      <c r="F30" s="44"/>
    </row>
    <row r="31" spans="1:6" ht="29" x14ac:dyDescent="0.35">
      <c r="A31" s="83">
        <v>25</v>
      </c>
      <c r="B31" s="85" t="s">
        <v>50</v>
      </c>
      <c r="C31" s="86">
        <v>0</v>
      </c>
      <c r="D31" s="52">
        <v>0</v>
      </c>
      <c r="E31" s="52">
        <v>0</v>
      </c>
      <c r="F31" s="44"/>
    </row>
    <row r="32" spans="1:6" ht="29" x14ac:dyDescent="0.35">
      <c r="A32" s="83">
        <v>26</v>
      </c>
      <c r="B32" s="85" t="s">
        <v>51</v>
      </c>
      <c r="C32" s="86">
        <v>0</v>
      </c>
      <c r="D32" s="52">
        <v>0</v>
      </c>
      <c r="E32" s="52">
        <v>0</v>
      </c>
      <c r="F32" s="44"/>
    </row>
    <row r="33" spans="1:6" x14ac:dyDescent="0.35">
      <c r="A33" s="83">
        <v>27</v>
      </c>
      <c r="B33" s="85" t="s">
        <v>46</v>
      </c>
      <c r="C33" s="86">
        <v>0</v>
      </c>
      <c r="D33" s="52">
        <v>0</v>
      </c>
      <c r="E33" s="52">
        <v>0</v>
      </c>
      <c r="F33" s="44"/>
    </row>
    <row r="34" spans="1:6" x14ac:dyDescent="0.35">
      <c r="A34" s="83">
        <v>28</v>
      </c>
      <c r="B34" s="85" t="s">
        <v>47</v>
      </c>
      <c r="C34" s="86">
        <v>0</v>
      </c>
      <c r="D34" s="52">
        <v>0</v>
      </c>
      <c r="E34" s="52">
        <v>0</v>
      </c>
      <c r="F34" s="44"/>
    </row>
    <row r="35" spans="1:6" x14ac:dyDescent="0.35">
      <c r="A35" s="83">
        <v>29</v>
      </c>
      <c r="B35" s="85" t="s">
        <v>22</v>
      </c>
      <c r="C35" s="86">
        <v>0</v>
      </c>
      <c r="D35" s="52">
        <v>0</v>
      </c>
      <c r="E35" s="52">
        <v>0</v>
      </c>
      <c r="F35" s="20"/>
    </row>
    <row r="36" spans="1:6" ht="29" x14ac:dyDescent="0.35">
      <c r="A36" s="83">
        <v>30</v>
      </c>
      <c r="B36" s="53" t="s">
        <v>23</v>
      </c>
      <c r="C36" s="89">
        <v>2</v>
      </c>
      <c r="D36" s="52">
        <v>2</v>
      </c>
      <c r="E36" s="52">
        <v>0</v>
      </c>
      <c r="F36" s="20" t="s">
        <v>142</v>
      </c>
    </row>
    <row r="37" spans="1:6" x14ac:dyDescent="0.35">
      <c r="A37" s="83">
        <v>31</v>
      </c>
      <c r="B37" s="85" t="s">
        <v>24</v>
      </c>
      <c r="C37" s="86">
        <v>0</v>
      </c>
      <c r="D37" s="52">
        <v>0</v>
      </c>
      <c r="E37" s="52">
        <v>0</v>
      </c>
      <c r="F37" s="20"/>
    </row>
    <row r="38" spans="1:6" ht="87" x14ac:dyDescent="0.35">
      <c r="A38" s="83">
        <v>32</v>
      </c>
      <c r="B38" s="85" t="s">
        <v>37</v>
      </c>
      <c r="C38" s="86">
        <v>1</v>
      </c>
      <c r="D38" s="52"/>
      <c r="E38" s="52"/>
      <c r="F38" s="20" t="s">
        <v>143</v>
      </c>
    </row>
    <row r="39" spans="1:6" ht="29" x14ac:dyDescent="0.35">
      <c r="A39" s="83">
        <v>33</v>
      </c>
      <c r="B39" s="85" t="s">
        <v>25</v>
      </c>
      <c r="C39" s="86">
        <v>0</v>
      </c>
      <c r="D39" s="52"/>
      <c r="E39" s="52"/>
      <c r="F39" s="20"/>
    </row>
    <row r="40" spans="1:6" x14ac:dyDescent="0.35">
      <c r="A40" s="83">
        <v>34</v>
      </c>
      <c r="B40" s="85" t="s">
        <v>39</v>
      </c>
      <c r="C40" s="86">
        <v>0</v>
      </c>
      <c r="D40" s="52">
        <v>0</v>
      </c>
      <c r="E40" s="52">
        <v>0</v>
      </c>
      <c r="F40" s="20"/>
    </row>
    <row r="41" spans="1:6" x14ac:dyDescent="0.35">
      <c r="A41" s="83">
        <v>35</v>
      </c>
      <c r="B41" s="85" t="s">
        <v>26</v>
      </c>
      <c r="C41" s="86">
        <v>0</v>
      </c>
      <c r="D41" s="52">
        <v>0</v>
      </c>
      <c r="E41" s="52">
        <v>0</v>
      </c>
      <c r="F41" s="20"/>
    </row>
    <row r="42" spans="1:6" ht="29" x14ac:dyDescent="0.35">
      <c r="A42" s="83">
        <v>36</v>
      </c>
      <c r="B42" s="85" t="s">
        <v>43</v>
      </c>
      <c r="C42" s="86">
        <v>1</v>
      </c>
      <c r="D42" s="52">
        <v>0</v>
      </c>
      <c r="E42" s="52">
        <v>1</v>
      </c>
      <c r="F42" s="20" t="s">
        <v>144</v>
      </c>
    </row>
    <row r="43" spans="1:6" x14ac:dyDescent="0.35">
      <c r="A43" s="83"/>
      <c r="B43" s="81" t="s">
        <v>27</v>
      </c>
      <c r="C43" s="95"/>
      <c r="D43" s="96"/>
      <c r="E43" s="96"/>
      <c r="F43" s="44"/>
    </row>
    <row r="44" spans="1:6" ht="108.5" x14ac:dyDescent="0.35">
      <c r="A44" s="83">
        <v>37</v>
      </c>
      <c r="B44" s="85" t="s">
        <v>28</v>
      </c>
      <c r="C44" s="86">
        <v>11</v>
      </c>
      <c r="D44" s="52"/>
      <c r="E44" s="52"/>
      <c r="F44" s="93" t="s">
        <v>145</v>
      </c>
    </row>
    <row r="45" spans="1:6" ht="29" x14ac:dyDescent="0.35">
      <c r="A45" s="83">
        <v>38</v>
      </c>
      <c r="B45" s="85" t="s">
        <v>52</v>
      </c>
      <c r="C45" s="111">
        <v>2</v>
      </c>
      <c r="D45" s="3"/>
      <c r="E45" s="3"/>
      <c r="F45" s="110" t="s">
        <v>146</v>
      </c>
    </row>
    <row r="46" spans="1:6" x14ac:dyDescent="0.35">
      <c r="A46" s="83">
        <v>39</v>
      </c>
      <c r="B46" s="85" t="s">
        <v>40</v>
      </c>
      <c r="C46" s="85">
        <v>4</v>
      </c>
      <c r="D46" s="91"/>
      <c r="E46" s="91"/>
      <c r="F46" s="20" t="s">
        <v>147</v>
      </c>
    </row>
    <row r="47" spans="1:6" x14ac:dyDescent="0.35">
      <c r="A47" s="83">
        <v>40</v>
      </c>
      <c r="B47" s="85" t="s">
        <v>41</v>
      </c>
      <c r="C47" s="86">
        <v>86</v>
      </c>
      <c r="D47" s="52">
        <v>41</v>
      </c>
      <c r="E47" s="52">
        <v>45</v>
      </c>
      <c r="F47" s="20" t="s">
        <v>148</v>
      </c>
    </row>
    <row r="48" spans="1:6" x14ac:dyDescent="0.35">
      <c r="A48" s="83">
        <v>41</v>
      </c>
      <c r="B48" s="85" t="s">
        <v>33</v>
      </c>
      <c r="C48" s="86">
        <v>0</v>
      </c>
      <c r="D48" s="52">
        <v>0</v>
      </c>
      <c r="E48" s="52">
        <v>0</v>
      </c>
      <c r="F48" s="44"/>
    </row>
    <row r="49" spans="1:6" x14ac:dyDescent="0.35">
      <c r="A49" s="83">
        <v>42</v>
      </c>
      <c r="B49" s="85" t="s">
        <v>53</v>
      </c>
      <c r="C49" s="86">
        <v>0</v>
      </c>
      <c r="D49" s="52">
        <v>0</v>
      </c>
      <c r="E49" s="52">
        <v>0</v>
      </c>
      <c r="F49" s="44"/>
    </row>
    <row r="50" spans="1:6" ht="87" x14ac:dyDescent="0.35">
      <c r="A50" s="52">
        <v>43</v>
      </c>
      <c r="B50" s="53" t="s">
        <v>34</v>
      </c>
      <c r="C50" s="89">
        <v>10</v>
      </c>
      <c r="D50" s="52"/>
      <c r="E50" s="52"/>
      <c r="F50" s="20" t="s">
        <v>149</v>
      </c>
    </row>
    <row r="51" spans="1:6" ht="29" x14ac:dyDescent="0.35">
      <c r="A51" s="83">
        <v>44</v>
      </c>
      <c r="B51" s="85" t="s">
        <v>55</v>
      </c>
      <c r="C51" s="86">
        <v>8</v>
      </c>
      <c r="D51" s="52"/>
      <c r="E51" s="52"/>
      <c r="F51" s="20" t="s">
        <v>150</v>
      </c>
    </row>
    <row r="52" spans="1:6" ht="29" x14ac:dyDescent="0.35">
      <c r="A52" s="83">
        <v>45</v>
      </c>
      <c r="B52" s="85" t="s">
        <v>54</v>
      </c>
      <c r="C52" s="86">
        <v>149</v>
      </c>
      <c r="D52" s="52">
        <v>0</v>
      </c>
      <c r="E52" s="52">
        <v>149</v>
      </c>
      <c r="F52" s="20" t="s">
        <v>150</v>
      </c>
    </row>
    <row r="53" spans="1:6" x14ac:dyDescent="0.35">
      <c r="A53" s="82"/>
      <c r="B53" s="81" t="s">
        <v>29</v>
      </c>
      <c r="C53" s="95"/>
      <c r="D53" s="96"/>
      <c r="E53" s="96"/>
      <c r="F53" s="44"/>
    </row>
    <row r="54" spans="1:6" ht="29" x14ac:dyDescent="0.35">
      <c r="A54" s="83">
        <v>46</v>
      </c>
      <c r="B54" s="85" t="s">
        <v>30</v>
      </c>
      <c r="C54" s="86">
        <v>38</v>
      </c>
      <c r="D54" s="52">
        <v>25</v>
      </c>
      <c r="E54" s="52">
        <v>13</v>
      </c>
      <c r="F54" s="20" t="s">
        <v>151</v>
      </c>
    </row>
    <row r="55" spans="1:6" x14ac:dyDescent="0.35">
      <c r="A55" s="97"/>
      <c r="B55" s="81" t="s">
        <v>31</v>
      </c>
      <c r="C55" s="95"/>
      <c r="D55" s="96"/>
      <c r="E55" s="96"/>
      <c r="F55" s="44"/>
    </row>
    <row r="56" spans="1:6" ht="58" x14ac:dyDescent="0.35">
      <c r="A56" s="83">
        <v>47</v>
      </c>
      <c r="B56" s="85" t="s">
        <v>35</v>
      </c>
      <c r="C56" s="86">
        <v>1</v>
      </c>
      <c r="D56" s="52"/>
      <c r="E56" s="52"/>
      <c r="F56" s="20" t="s">
        <v>152</v>
      </c>
    </row>
    <row r="57" spans="1:6" x14ac:dyDescent="0.35">
      <c r="A57" s="83">
        <v>48</v>
      </c>
      <c r="B57" s="80" t="s">
        <v>36</v>
      </c>
      <c r="C57" s="86">
        <v>0</v>
      </c>
      <c r="D57" s="53">
        <v>0</v>
      </c>
      <c r="E57" s="53">
        <v>0</v>
      </c>
      <c r="F57" s="20"/>
    </row>
    <row r="58" spans="1:6" x14ac:dyDescent="0.35">
      <c r="A58" s="88"/>
      <c r="D58" s="53"/>
      <c r="E58" s="53"/>
      <c r="F58" s="20"/>
    </row>
    <row r="59" spans="1:6" x14ac:dyDescent="0.35">
      <c r="A59" s="83"/>
      <c r="B59" s="52"/>
      <c r="C59" s="52"/>
      <c r="D59" s="53"/>
      <c r="E59" s="53"/>
      <c r="F59" s="20"/>
    </row>
    <row r="60" spans="1:6" x14ac:dyDescent="0.35">
      <c r="A60" s="52"/>
      <c r="B60" s="90" t="s">
        <v>153</v>
      </c>
      <c r="C60" s="89">
        <v>0</v>
      </c>
      <c r="D60" s="52">
        <v>0</v>
      </c>
      <c r="E60" s="52">
        <v>0</v>
      </c>
      <c r="F60" s="44"/>
    </row>
    <row r="61" spans="1:6" ht="43.5" x14ac:dyDescent="0.35">
      <c r="A61" s="52">
        <v>1</v>
      </c>
      <c r="B61" s="52" t="s">
        <v>154</v>
      </c>
      <c r="C61" s="89"/>
      <c r="D61" s="52"/>
      <c r="E61" s="52"/>
      <c r="F61" s="20" t="s">
        <v>155</v>
      </c>
    </row>
    <row r="62" spans="1:6" x14ac:dyDescent="0.35">
      <c r="A62" s="52">
        <v>2</v>
      </c>
      <c r="B62" s="52" t="s">
        <v>156</v>
      </c>
      <c r="C62" s="89">
        <v>0</v>
      </c>
      <c r="D62" s="52">
        <v>0</v>
      </c>
      <c r="E62" s="52">
        <v>0</v>
      </c>
      <c r="F62" s="92"/>
    </row>
    <row r="63" spans="1:6" x14ac:dyDescent="0.35">
      <c r="A63" s="52">
        <v>3</v>
      </c>
      <c r="B63" s="52" t="s">
        <v>157</v>
      </c>
      <c r="C63" s="89">
        <v>14</v>
      </c>
      <c r="D63" s="52">
        <v>5</v>
      </c>
      <c r="E63" s="52">
        <v>9</v>
      </c>
      <c r="F63" s="92"/>
    </row>
    <row r="64" spans="1:6" x14ac:dyDescent="0.35">
      <c r="A64" s="52">
        <v>4</v>
      </c>
      <c r="B64" s="52" t="s">
        <v>158</v>
      </c>
      <c r="C64" s="52">
        <v>0</v>
      </c>
      <c r="D64" s="52">
        <v>0</v>
      </c>
      <c r="E64" s="52">
        <v>0</v>
      </c>
      <c r="F64" s="44"/>
    </row>
  </sheetData>
  <mergeCells count="3">
    <mergeCell ref="A1:C1"/>
    <mergeCell ref="A2:C2"/>
    <mergeCell ref="C12:E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B30C-063C-4506-A233-9026F0D157AA}">
  <dimension ref="A1:D57"/>
  <sheetViews>
    <sheetView topLeftCell="A32" workbookViewId="0">
      <selection activeCell="D26" sqref="D26"/>
    </sheetView>
  </sheetViews>
  <sheetFormatPr defaultRowHeight="14.5" x14ac:dyDescent="0.35"/>
  <cols>
    <col min="2" max="2" width="61.26953125" customWidth="1"/>
    <col min="3" max="3" width="32.54296875" customWidth="1"/>
    <col min="4" max="4" width="28.08984375" customWidth="1"/>
  </cols>
  <sheetData>
    <row r="1" spans="1:4" x14ac:dyDescent="0.35">
      <c r="A1" s="125" t="s">
        <v>96</v>
      </c>
      <c r="B1" s="126"/>
    </row>
    <row r="2" spans="1:4" x14ac:dyDescent="0.35">
      <c r="A2" s="126" t="s">
        <v>127</v>
      </c>
      <c r="B2" s="126"/>
    </row>
    <row r="3" spans="1:4" x14ac:dyDescent="0.35">
      <c r="A3" s="7" t="s">
        <v>97</v>
      </c>
      <c r="B3" s="8" t="s">
        <v>1</v>
      </c>
      <c r="C3" s="32" t="s">
        <v>99</v>
      </c>
      <c r="D3" s="33"/>
    </row>
    <row r="4" spans="1:4" ht="16.5" customHeight="1" x14ac:dyDescent="0.35">
      <c r="A4" s="1"/>
      <c r="B4" s="118" t="s">
        <v>2</v>
      </c>
      <c r="C4" s="119"/>
      <c r="D4" s="35"/>
    </row>
    <row r="5" spans="1:4" x14ac:dyDescent="0.35">
      <c r="A5" s="18">
        <v>1</v>
      </c>
      <c r="B5" s="14" t="s">
        <v>44</v>
      </c>
      <c r="C5" s="18">
        <v>0</v>
      </c>
      <c r="D5" s="18"/>
    </row>
    <row r="6" spans="1:4" x14ac:dyDescent="0.35">
      <c r="A6" s="18">
        <v>2</v>
      </c>
      <c r="B6" s="14" t="s">
        <v>45</v>
      </c>
      <c r="C6" s="18">
        <v>0</v>
      </c>
      <c r="D6" s="18"/>
    </row>
    <row r="7" spans="1:4" x14ac:dyDescent="0.35">
      <c r="A7" s="18">
        <v>3</v>
      </c>
      <c r="B7" s="14" t="s">
        <v>3</v>
      </c>
      <c r="C7" s="18">
        <v>0</v>
      </c>
      <c r="D7" s="18"/>
    </row>
    <row r="8" spans="1:4" ht="78" x14ac:dyDescent="0.35">
      <c r="A8" s="18">
        <v>4</v>
      </c>
      <c r="B8" s="14" t="s">
        <v>98</v>
      </c>
      <c r="C8" s="18">
        <f>105+46</f>
        <v>151</v>
      </c>
      <c r="D8" s="30" t="s">
        <v>100</v>
      </c>
    </row>
    <row r="9" spans="1:4" x14ac:dyDescent="0.35">
      <c r="A9" s="18">
        <v>5</v>
      </c>
      <c r="B9" s="14" t="s">
        <v>5</v>
      </c>
      <c r="C9" s="18">
        <v>0</v>
      </c>
      <c r="D9" s="18"/>
    </row>
    <row r="10" spans="1:4" x14ac:dyDescent="0.35">
      <c r="A10" s="18">
        <v>6</v>
      </c>
      <c r="B10" s="14" t="s">
        <v>6</v>
      </c>
      <c r="C10" s="18">
        <v>0</v>
      </c>
      <c r="D10" s="18"/>
    </row>
    <row r="11" spans="1:4" x14ac:dyDescent="0.35">
      <c r="A11" s="18">
        <v>7</v>
      </c>
      <c r="B11" s="14" t="s">
        <v>32</v>
      </c>
      <c r="C11" s="18">
        <v>0</v>
      </c>
      <c r="D11" s="18"/>
    </row>
    <row r="12" spans="1:4" x14ac:dyDescent="0.35">
      <c r="B12" s="123" t="s">
        <v>7</v>
      </c>
      <c r="C12" s="124"/>
      <c r="D12" s="18"/>
    </row>
    <row r="13" spans="1:4" x14ac:dyDescent="0.35">
      <c r="A13" s="18">
        <v>8</v>
      </c>
      <c r="B13" s="14" t="s">
        <v>8</v>
      </c>
      <c r="C13" s="18">
        <v>0</v>
      </c>
      <c r="D13" s="18"/>
    </row>
    <row r="14" spans="1:4" x14ac:dyDescent="0.35">
      <c r="A14" s="18">
        <v>9</v>
      </c>
      <c r="B14" s="14" t="s">
        <v>9</v>
      </c>
      <c r="C14" s="18">
        <v>0</v>
      </c>
      <c r="D14" s="18"/>
    </row>
    <row r="15" spans="1:4" x14ac:dyDescent="0.35">
      <c r="A15" s="18">
        <v>10</v>
      </c>
      <c r="B15" s="14" t="s">
        <v>10</v>
      </c>
      <c r="C15" s="18">
        <v>0</v>
      </c>
      <c r="D15" s="30"/>
    </row>
    <row r="16" spans="1:4" x14ac:dyDescent="0.35">
      <c r="A16" s="18">
        <v>11</v>
      </c>
      <c r="B16" s="14" t="s">
        <v>11</v>
      </c>
      <c r="C16" s="18">
        <v>0</v>
      </c>
      <c r="D16" s="30"/>
    </row>
    <row r="17" spans="1:4" ht="26" x14ac:dyDescent="0.35">
      <c r="A17" s="18">
        <v>12</v>
      </c>
      <c r="B17" s="14" t="s">
        <v>12</v>
      </c>
      <c r="C17" s="18">
        <v>0</v>
      </c>
      <c r="D17" s="18"/>
    </row>
    <row r="18" spans="1:4" x14ac:dyDescent="0.35">
      <c r="A18" s="18">
        <v>13</v>
      </c>
      <c r="B18" s="14" t="s">
        <v>13</v>
      </c>
      <c r="C18" s="18">
        <v>0</v>
      </c>
      <c r="D18" s="18"/>
    </row>
    <row r="19" spans="1:4" x14ac:dyDescent="0.35">
      <c r="A19" s="18">
        <v>14</v>
      </c>
      <c r="B19" s="14" t="s">
        <v>14</v>
      </c>
      <c r="C19" s="18">
        <v>0</v>
      </c>
      <c r="D19" s="18"/>
    </row>
    <row r="20" spans="1:4" x14ac:dyDescent="0.35">
      <c r="A20" s="18">
        <v>15</v>
      </c>
      <c r="B20" s="14" t="s">
        <v>15</v>
      </c>
      <c r="C20" s="18">
        <v>0</v>
      </c>
      <c r="D20" s="18"/>
    </row>
    <row r="21" spans="1:4" x14ac:dyDescent="0.35">
      <c r="A21" s="18">
        <v>16</v>
      </c>
      <c r="B21" s="14" t="s">
        <v>16</v>
      </c>
      <c r="C21" s="18">
        <v>0</v>
      </c>
      <c r="D21" s="18"/>
    </row>
    <row r="22" spans="1:4" x14ac:dyDescent="0.35">
      <c r="A22" s="18">
        <v>17</v>
      </c>
      <c r="B22" s="14" t="s">
        <v>17</v>
      </c>
      <c r="C22" s="18">
        <v>0</v>
      </c>
      <c r="D22" s="18"/>
    </row>
    <row r="23" spans="1:4" x14ac:dyDescent="0.35">
      <c r="A23" s="18">
        <v>18</v>
      </c>
      <c r="B23" s="14" t="s">
        <v>18</v>
      </c>
      <c r="C23" s="18">
        <v>0</v>
      </c>
      <c r="D23" s="18"/>
    </row>
    <row r="24" spans="1:4" x14ac:dyDescent="0.35">
      <c r="A24" s="18">
        <v>19</v>
      </c>
      <c r="B24" s="14" t="s">
        <v>19</v>
      </c>
      <c r="C24" s="18">
        <v>0</v>
      </c>
      <c r="D24" s="18"/>
    </row>
    <row r="25" spans="1:4" x14ac:dyDescent="0.35">
      <c r="A25" s="18">
        <v>20</v>
      </c>
      <c r="B25" s="14" t="s">
        <v>20</v>
      </c>
      <c r="C25" s="18">
        <v>0</v>
      </c>
      <c r="D25" s="18"/>
    </row>
    <row r="26" spans="1:4" ht="39" x14ac:dyDescent="0.35">
      <c r="A26" s="18">
        <v>21</v>
      </c>
      <c r="B26" s="14" t="s">
        <v>38</v>
      </c>
      <c r="C26" s="18">
        <v>43</v>
      </c>
      <c r="D26" s="30" t="s">
        <v>101</v>
      </c>
    </row>
    <row r="27" spans="1:4" x14ac:dyDescent="0.35">
      <c r="A27" s="18"/>
      <c r="B27" s="123" t="s">
        <v>21</v>
      </c>
      <c r="C27" s="124"/>
      <c r="D27" s="18"/>
    </row>
    <row r="28" spans="1:4" x14ac:dyDescent="0.35">
      <c r="A28" s="18">
        <v>22</v>
      </c>
      <c r="B28" s="14" t="s">
        <v>48</v>
      </c>
      <c r="C28" s="18">
        <v>0</v>
      </c>
      <c r="D28" s="17"/>
    </row>
    <row r="29" spans="1:4" x14ac:dyDescent="0.35">
      <c r="A29" s="18">
        <v>23</v>
      </c>
      <c r="B29" s="14" t="s">
        <v>49</v>
      </c>
      <c r="C29" s="18">
        <v>0</v>
      </c>
      <c r="D29" s="18"/>
    </row>
    <row r="30" spans="1:4" ht="26" x14ac:dyDescent="0.35">
      <c r="A30" s="18">
        <v>24</v>
      </c>
      <c r="B30" s="14" t="s">
        <v>42</v>
      </c>
      <c r="C30" s="18">
        <v>0</v>
      </c>
      <c r="D30" s="18"/>
    </row>
    <row r="31" spans="1:4" ht="26" x14ac:dyDescent="0.35">
      <c r="A31" s="18">
        <v>25</v>
      </c>
      <c r="B31" s="14" t="s">
        <v>50</v>
      </c>
      <c r="C31" s="18">
        <v>4</v>
      </c>
      <c r="D31" s="18" t="s">
        <v>102</v>
      </c>
    </row>
    <row r="32" spans="1:4" ht="26" x14ac:dyDescent="0.35">
      <c r="A32" s="18">
        <v>26</v>
      </c>
      <c r="B32" s="14" t="s">
        <v>51</v>
      </c>
      <c r="C32" s="18">
        <v>13</v>
      </c>
      <c r="D32" s="18" t="s">
        <v>103</v>
      </c>
    </row>
    <row r="33" spans="1:4" x14ac:dyDescent="0.35">
      <c r="A33" s="18">
        <v>27</v>
      </c>
      <c r="B33" s="14" t="s">
        <v>46</v>
      </c>
      <c r="C33" s="18">
        <v>0</v>
      </c>
      <c r="D33" s="18"/>
    </row>
    <row r="34" spans="1:4" x14ac:dyDescent="0.35">
      <c r="A34" s="18">
        <v>28</v>
      </c>
      <c r="B34" s="14" t="s">
        <v>47</v>
      </c>
      <c r="C34" s="18">
        <v>0</v>
      </c>
      <c r="D34" s="18"/>
    </row>
    <row r="35" spans="1:4" x14ac:dyDescent="0.35">
      <c r="A35" s="18">
        <v>29</v>
      </c>
      <c r="B35" s="14" t="s">
        <v>22</v>
      </c>
      <c r="C35" s="18">
        <v>0</v>
      </c>
      <c r="D35" s="18"/>
    </row>
    <row r="36" spans="1:4" x14ac:dyDescent="0.35">
      <c r="A36" s="18">
        <v>30</v>
      </c>
      <c r="B36" s="14" t="s">
        <v>23</v>
      </c>
      <c r="C36" s="18">
        <v>139</v>
      </c>
      <c r="D36" s="18" t="s">
        <v>104</v>
      </c>
    </row>
    <row r="37" spans="1:4" x14ac:dyDescent="0.35">
      <c r="A37" s="18">
        <v>31</v>
      </c>
      <c r="B37" s="14" t="s">
        <v>24</v>
      </c>
      <c r="C37" s="18">
        <v>0</v>
      </c>
      <c r="D37" s="18"/>
    </row>
    <row r="38" spans="1:4" x14ac:dyDescent="0.35">
      <c r="A38" s="18">
        <v>32</v>
      </c>
      <c r="B38" s="14" t="s">
        <v>37</v>
      </c>
      <c r="C38" s="18">
        <v>0</v>
      </c>
      <c r="D38" s="30"/>
    </row>
    <row r="39" spans="1:4" x14ac:dyDescent="0.35">
      <c r="A39" s="18">
        <v>33</v>
      </c>
      <c r="B39" s="14" t="s">
        <v>25</v>
      </c>
      <c r="C39" s="18">
        <v>0</v>
      </c>
      <c r="D39" s="30"/>
    </row>
    <row r="40" spans="1:4" x14ac:dyDescent="0.35">
      <c r="A40" s="18">
        <v>34</v>
      </c>
      <c r="B40" s="14" t="s">
        <v>39</v>
      </c>
      <c r="C40" s="18">
        <v>0</v>
      </c>
      <c r="D40" s="17"/>
    </row>
    <row r="41" spans="1:4" x14ac:dyDescent="0.35">
      <c r="A41" s="18">
        <v>35</v>
      </c>
      <c r="B41" s="14" t="s">
        <v>26</v>
      </c>
      <c r="C41" s="18">
        <v>0</v>
      </c>
      <c r="D41" s="18"/>
    </row>
    <row r="42" spans="1:4" x14ac:dyDescent="0.35">
      <c r="A42" s="18">
        <v>36</v>
      </c>
      <c r="B42" s="14" t="s">
        <v>43</v>
      </c>
      <c r="C42" s="18">
        <v>0</v>
      </c>
      <c r="D42" s="36"/>
    </row>
    <row r="43" spans="1:4" x14ac:dyDescent="0.35">
      <c r="A43" s="18"/>
      <c r="B43" s="123" t="s">
        <v>27</v>
      </c>
      <c r="C43" s="124"/>
      <c r="D43" s="18"/>
    </row>
    <row r="44" spans="1:4" x14ac:dyDescent="0.35">
      <c r="A44" s="18">
        <v>37</v>
      </c>
      <c r="B44" s="14" t="s">
        <v>28</v>
      </c>
      <c r="C44" s="18">
        <v>50</v>
      </c>
      <c r="D44" s="17" t="s">
        <v>105</v>
      </c>
    </row>
    <row r="45" spans="1:4" ht="39" x14ac:dyDescent="0.35">
      <c r="A45" s="18">
        <v>38</v>
      </c>
      <c r="B45" s="14" t="s">
        <v>52</v>
      </c>
      <c r="C45" s="18">
        <v>3</v>
      </c>
      <c r="D45" s="36" t="s">
        <v>106</v>
      </c>
    </row>
    <row r="46" spans="1:4" x14ac:dyDescent="0.35">
      <c r="A46" s="18">
        <v>39</v>
      </c>
      <c r="B46" s="14" t="s">
        <v>40</v>
      </c>
      <c r="C46" s="18">
        <v>20</v>
      </c>
      <c r="D46" s="18"/>
    </row>
    <row r="47" spans="1:4" x14ac:dyDescent="0.35">
      <c r="A47" s="18">
        <v>40</v>
      </c>
      <c r="B47" s="14" t="s">
        <v>41</v>
      </c>
      <c r="C47" s="18">
        <v>331</v>
      </c>
      <c r="D47" s="17" t="s">
        <v>107</v>
      </c>
    </row>
    <row r="48" spans="1:4" x14ac:dyDescent="0.35">
      <c r="A48" s="18">
        <v>41</v>
      </c>
      <c r="B48" s="14" t="s">
        <v>33</v>
      </c>
      <c r="C48" s="18">
        <v>0</v>
      </c>
      <c r="D48" s="18"/>
    </row>
    <row r="49" spans="1:4" x14ac:dyDescent="0.35">
      <c r="A49" s="18">
        <v>42</v>
      </c>
      <c r="B49" s="14" t="s">
        <v>53</v>
      </c>
      <c r="C49" s="18">
        <v>0</v>
      </c>
      <c r="D49" s="18"/>
    </row>
    <row r="50" spans="1:4" x14ac:dyDescent="0.35">
      <c r="A50" s="18">
        <v>43</v>
      </c>
      <c r="B50" s="14" t="s">
        <v>34</v>
      </c>
      <c r="C50" s="112">
        <v>51</v>
      </c>
      <c r="D50" s="17" t="s">
        <v>108</v>
      </c>
    </row>
    <row r="51" spans="1:4" ht="26" x14ac:dyDescent="0.35">
      <c r="A51" s="18">
        <v>44</v>
      </c>
      <c r="B51" s="14" t="s">
        <v>55</v>
      </c>
      <c r="C51" s="112">
        <v>51</v>
      </c>
      <c r="D51" s="17" t="s">
        <v>108</v>
      </c>
    </row>
    <row r="52" spans="1:4" ht="26" x14ac:dyDescent="0.35">
      <c r="A52" s="18">
        <v>45</v>
      </c>
      <c r="B52" s="14" t="s">
        <v>54</v>
      </c>
      <c r="C52" s="112">
        <v>580</v>
      </c>
      <c r="D52" s="18"/>
    </row>
    <row r="53" spans="1:4" x14ac:dyDescent="0.35">
      <c r="A53" s="18"/>
      <c r="B53" s="123" t="s">
        <v>29</v>
      </c>
      <c r="C53" s="124"/>
      <c r="D53" s="18"/>
    </row>
    <row r="54" spans="1:4" ht="26" x14ac:dyDescent="0.35">
      <c r="A54" s="18">
        <v>46</v>
      </c>
      <c r="B54" s="14" t="s">
        <v>30</v>
      </c>
      <c r="C54" s="18">
        <v>534</v>
      </c>
      <c r="D54" s="18" t="s">
        <v>109</v>
      </c>
    </row>
    <row r="55" spans="1:4" x14ac:dyDescent="0.35">
      <c r="A55" s="30"/>
      <c r="B55" s="123" t="s">
        <v>31</v>
      </c>
      <c r="C55" s="124"/>
      <c r="D55" s="18"/>
    </row>
    <row r="56" spans="1:4" ht="39" x14ac:dyDescent="0.35">
      <c r="A56" s="18">
        <v>47</v>
      </c>
      <c r="B56" s="14" t="s">
        <v>35</v>
      </c>
      <c r="C56" s="18">
        <v>1</v>
      </c>
      <c r="D56" s="36" t="s">
        <v>110</v>
      </c>
    </row>
    <row r="57" spans="1:4" x14ac:dyDescent="0.35">
      <c r="A57" s="18">
        <v>48</v>
      </c>
      <c r="B57" s="29" t="s">
        <v>36</v>
      </c>
      <c r="C57" s="34">
        <v>0</v>
      </c>
      <c r="D57" s="30"/>
    </row>
  </sheetData>
  <mergeCells count="8">
    <mergeCell ref="B43:C43"/>
    <mergeCell ref="B53:C53"/>
    <mergeCell ref="B55:C55"/>
    <mergeCell ref="A1:B1"/>
    <mergeCell ref="A2:B2"/>
    <mergeCell ref="B4:C4"/>
    <mergeCell ref="B12:C12"/>
    <mergeCell ref="B27:C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47A-5CA7-4591-B469-6187B1E8F6FB}">
  <dimension ref="A1:H59"/>
  <sheetViews>
    <sheetView topLeftCell="A32" workbookViewId="0">
      <selection activeCell="D42" sqref="D42"/>
    </sheetView>
  </sheetViews>
  <sheetFormatPr defaultRowHeight="14.5" x14ac:dyDescent="0.35"/>
  <cols>
    <col min="2" max="2" width="50.81640625" customWidth="1"/>
  </cols>
  <sheetData>
    <row r="1" spans="1:7" x14ac:dyDescent="0.35">
      <c r="A1" s="130" t="s">
        <v>160</v>
      </c>
      <c r="B1" s="131"/>
      <c r="C1" s="131"/>
      <c r="D1" s="39"/>
      <c r="E1" s="39"/>
      <c r="F1" s="44"/>
      <c r="G1" s="45"/>
    </row>
    <row r="2" spans="1:7" x14ac:dyDescent="0.35">
      <c r="A2" s="131" t="s">
        <v>80</v>
      </c>
      <c r="B2" s="131"/>
      <c r="C2" s="131"/>
      <c r="D2" s="39"/>
      <c r="E2" s="39"/>
      <c r="F2" s="44"/>
      <c r="G2" s="46"/>
    </row>
    <row r="3" spans="1:7" x14ac:dyDescent="0.35">
      <c r="A3" s="57" t="s">
        <v>0</v>
      </c>
      <c r="B3" s="56" t="s">
        <v>1</v>
      </c>
      <c r="C3" s="132" t="s">
        <v>125</v>
      </c>
      <c r="D3" s="133"/>
      <c r="E3" s="133"/>
      <c r="F3" s="133"/>
      <c r="G3" s="58"/>
    </row>
    <row r="4" spans="1:7" x14ac:dyDescent="0.35">
      <c r="A4" s="48"/>
      <c r="B4" s="47" t="s">
        <v>2</v>
      </c>
      <c r="C4" s="59" t="s">
        <v>121</v>
      </c>
      <c r="D4" s="60" t="s">
        <v>122</v>
      </c>
      <c r="E4" s="60" t="s">
        <v>159</v>
      </c>
      <c r="F4" s="60" t="s">
        <v>123</v>
      </c>
      <c r="G4" s="61" t="s">
        <v>124</v>
      </c>
    </row>
    <row r="5" spans="1:7" x14ac:dyDescent="0.35">
      <c r="A5" s="44">
        <v>1</v>
      </c>
      <c r="B5" s="20" t="s">
        <v>44</v>
      </c>
      <c r="C5" s="41">
        <f>PRAGATHI!C5</f>
        <v>0</v>
      </c>
      <c r="D5" s="49">
        <f>SRAMA!C5</f>
        <v>0</v>
      </c>
      <c r="E5" s="49">
        <f>KDDI!C5</f>
        <v>0</v>
      </c>
      <c r="F5" s="50">
        <f>PORD!C5</f>
        <v>0</v>
      </c>
      <c r="G5" s="45">
        <f t="shared" ref="G5:G11" si="0">SUM(C5:F5)</f>
        <v>0</v>
      </c>
    </row>
    <row r="6" spans="1:7" x14ac:dyDescent="0.35">
      <c r="A6" s="44">
        <v>2</v>
      </c>
      <c r="B6" s="20" t="s">
        <v>45</v>
      </c>
      <c r="C6" s="41">
        <f>PRAGATHI!C6</f>
        <v>0</v>
      </c>
      <c r="D6" s="49">
        <f>SRAMA!C6</f>
        <v>0</v>
      </c>
      <c r="E6" s="49">
        <f>KDDI!C6</f>
        <v>0</v>
      </c>
      <c r="F6" s="50">
        <f>PORD!C6</f>
        <v>0</v>
      </c>
      <c r="G6" s="45">
        <f t="shared" si="0"/>
        <v>0</v>
      </c>
    </row>
    <row r="7" spans="1:7" x14ac:dyDescent="0.35">
      <c r="A7" s="44">
        <v>3</v>
      </c>
      <c r="B7" s="20" t="s">
        <v>3</v>
      </c>
      <c r="C7" s="41">
        <f>PRAGATHI!C7</f>
        <v>0</v>
      </c>
      <c r="D7" s="49">
        <f>SRAMA!C7</f>
        <v>0</v>
      </c>
      <c r="E7" s="49">
        <f>KDDI!C7</f>
        <v>0</v>
      </c>
      <c r="F7" s="50">
        <f>PORD!C7</f>
        <v>0</v>
      </c>
      <c r="G7" s="45">
        <f t="shared" si="0"/>
        <v>0</v>
      </c>
    </row>
    <row r="8" spans="1:7" ht="29" x14ac:dyDescent="0.35">
      <c r="A8" s="44">
        <v>4</v>
      </c>
      <c r="B8" s="20" t="s">
        <v>4</v>
      </c>
      <c r="C8" s="41">
        <f>PRAGATHI!C8</f>
        <v>102</v>
      </c>
      <c r="D8" s="49">
        <f>SRAMA!C8</f>
        <v>33</v>
      </c>
      <c r="E8" s="49">
        <f>KDDI!C8</f>
        <v>0</v>
      </c>
      <c r="F8" s="50">
        <f>PORD!C8</f>
        <v>151</v>
      </c>
      <c r="G8" s="39">
        <f t="shared" si="0"/>
        <v>286</v>
      </c>
    </row>
    <row r="9" spans="1:7" ht="29" x14ac:dyDescent="0.35">
      <c r="A9" s="44">
        <v>5</v>
      </c>
      <c r="B9" s="20" t="s">
        <v>5</v>
      </c>
      <c r="C9" s="41">
        <f>PRAGATHI!C9</f>
        <v>0</v>
      </c>
      <c r="D9" s="49">
        <f>SRAMA!C9</f>
        <v>0</v>
      </c>
      <c r="E9" s="49">
        <f>KDDI!C9</f>
        <v>0</v>
      </c>
      <c r="F9" s="50">
        <f>PORD!C9</f>
        <v>0</v>
      </c>
      <c r="G9" s="45">
        <f t="shared" si="0"/>
        <v>0</v>
      </c>
    </row>
    <row r="10" spans="1:7" x14ac:dyDescent="0.35">
      <c r="A10" s="44">
        <v>6</v>
      </c>
      <c r="B10" s="20" t="s">
        <v>6</v>
      </c>
      <c r="C10" s="41">
        <f>PRAGATHI!C10</f>
        <v>0</v>
      </c>
      <c r="D10" s="49">
        <f>SRAMA!C10</f>
        <v>0</v>
      </c>
      <c r="E10" s="49">
        <f>KDDI!C10</f>
        <v>0</v>
      </c>
      <c r="F10" s="50">
        <f>PORD!C10</f>
        <v>0</v>
      </c>
      <c r="G10" s="45">
        <f t="shared" si="0"/>
        <v>0</v>
      </c>
    </row>
    <row r="11" spans="1:7" ht="29" x14ac:dyDescent="0.35">
      <c r="A11" s="44">
        <v>7</v>
      </c>
      <c r="B11" s="20" t="s">
        <v>32</v>
      </c>
      <c r="C11" s="41">
        <f>PRAGATHI!C11</f>
        <v>0</v>
      </c>
      <c r="D11" s="49">
        <f>SRAMA!C11</f>
        <v>0</v>
      </c>
      <c r="E11" s="49">
        <f>KDDI!C11</f>
        <v>0</v>
      </c>
      <c r="F11" s="50">
        <f>PORD!C11</f>
        <v>0</v>
      </c>
      <c r="G11" s="45">
        <f t="shared" si="0"/>
        <v>0</v>
      </c>
    </row>
    <row r="12" spans="1:7" x14ac:dyDescent="0.35">
      <c r="A12" s="48"/>
      <c r="B12" s="47" t="s">
        <v>7</v>
      </c>
      <c r="C12" s="59"/>
      <c r="D12" s="117"/>
      <c r="E12" s="62"/>
      <c r="F12" s="63"/>
      <c r="G12" s="64"/>
    </row>
    <row r="13" spans="1:7" ht="29" x14ac:dyDescent="0.35">
      <c r="A13" s="44">
        <v>8</v>
      </c>
      <c r="B13" s="20" t="s">
        <v>8</v>
      </c>
      <c r="C13" s="41">
        <f>PRAGATHI!C13</f>
        <v>0</v>
      </c>
      <c r="D13" s="49">
        <f>SRAMA!C13</f>
        <v>0</v>
      </c>
      <c r="E13" s="49">
        <f>KDDI!C13</f>
        <v>0</v>
      </c>
      <c r="F13" s="51">
        <f>PORD!C13</f>
        <v>0</v>
      </c>
      <c r="G13" s="39">
        <f>SUM(C13:F13)</f>
        <v>0</v>
      </c>
    </row>
    <row r="14" spans="1:7" x14ac:dyDescent="0.35">
      <c r="A14" s="44">
        <v>9</v>
      </c>
      <c r="B14" s="20" t="s">
        <v>9</v>
      </c>
      <c r="C14" s="41">
        <f>PRAGATHI!C14</f>
        <v>0</v>
      </c>
      <c r="D14" s="49">
        <f>SRAMA!C14</f>
        <v>0</v>
      </c>
      <c r="E14" s="49">
        <f>KDDI!C14</f>
        <v>0</v>
      </c>
      <c r="F14" s="51">
        <f>PORD!C14</f>
        <v>0</v>
      </c>
      <c r="G14" s="45">
        <f t="shared" ref="G14:G26" si="1">SUM(C14:F14)</f>
        <v>0</v>
      </c>
    </row>
    <row r="15" spans="1:7" ht="29" x14ac:dyDescent="0.35">
      <c r="A15" s="44">
        <v>10</v>
      </c>
      <c r="B15" s="20" t="s">
        <v>10</v>
      </c>
      <c r="C15" s="41">
        <f>PRAGATHI!C15</f>
        <v>0</v>
      </c>
      <c r="D15" s="49">
        <f>SRAMA!C15</f>
        <v>0</v>
      </c>
      <c r="E15" s="49">
        <f>KDDI!C15</f>
        <v>0</v>
      </c>
      <c r="F15" s="51">
        <f>PORD!C15</f>
        <v>0</v>
      </c>
      <c r="G15" s="45">
        <f t="shared" si="1"/>
        <v>0</v>
      </c>
    </row>
    <row r="16" spans="1:7" x14ac:dyDescent="0.35">
      <c r="A16" s="44">
        <v>11</v>
      </c>
      <c r="B16" s="20" t="s">
        <v>11</v>
      </c>
      <c r="C16" s="41">
        <f>PRAGATHI!C16</f>
        <v>0</v>
      </c>
      <c r="D16" s="49">
        <f>SRAMA!C16</f>
        <v>0</v>
      </c>
      <c r="E16" s="49">
        <f>KDDI!C16</f>
        <v>0</v>
      </c>
      <c r="F16" s="51">
        <f>PORD!C16</f>
        <v>0</v>
      </c>
      <c r="G16" s="45">
        <f t="shared" si="1"/>
        <v>0</v>
      </c>
    </row>
    <row r="17" spans="1:7" ht="29" x14ac:dyDescent="0.35">
      <c r="A17" s="44">
        <v>12</v>
      </c>
      <c r="B17" s="20" t="s">
        <v>12</v>
      </c>
      <c r="C17" s="41">
        <f>PRAGATHI!C17</f>
        <v>0</v>
      </c>
      <c r="D17" s="49">
        <f>SRAMA!C17</f>
        <v>0</v>
      </c>
      <c r="E17" s="49">
        <f>KDDI!C17</f>
        <v>0</v>
      </c>
      <c r="F17" s="51">
        <f>PORD!C17</f>
        <v>0</v>
      </c>
      <c r="G17" s="45">
        <f t="shared" si="1"/>
        <v>0</v>
      </c>
    </row>
    <row r="18" spans="1:7" ht="29" x14ac:dyDescent="0.35">
      <c r="A18" s="44">
        <v>13</v>
      </c>
      <c r="B18" s="20" t="s">
        <v>13</v>
      </c>
      <c r="C18" s="41">
        <f>PRAGATHI!C18</f>
        <v>0</v>
      </c>
      <c r="D18" s="49">
        <f>SRAMA!C18</f>
        <v>0</v>
      </c>
      <c r="E18" s="49">
        <f>KDDI!C18</f>
        <v>0</v>
      </c>
      <c r="F18" s="51">
        <f>PORD!C18</f>
        <v>0</v>
      </c>
      <c r="G18" s="45">
        <f t="shared" si="1"/>
        <v>0</v>
      </c>
    </row>
    <row r="19" spans="1:7" x14ac:dyDescent="0.35">
      <c r="A19" s="44">
        <v>14</v>
      </c>
      <c r="B19" s="20" t="s">
        <v>14</v>
      </c>
      <c r="C19" s="41">
        <f>PRAGATHI!C19</f>
        <v>0</v>
      </c>
      <c r="D19" s="49">
        <f>SRAMA!C19</f>
        <v>0</v>
      </c>
      <c r="E19" s="49">
        <f>KDDI!C19</f>
        <v>0</v>
      </c>
      <c r="F19" s="51">
        <f>PORD!C19</f>
        <v>0</v>
      </c>
      <c r="G19" s="45">
        <f t="shared" si="1"/>
        <v>0</v>
      </c>
    </row>
    <row r="20" spans="1:7" x14ac:dyDescent="0.35">
      <c r="A20" s="44">
        <v>15</v>
      </c>
      <c r="B20" s="20" t="s">
        <v>15</v>
      </c>
      <c r="C20" s="41">
        <f>PRAGATHI!C20</f>
        <v>0</v>
      </c>
      <c r="D20" s="49">
        <f>SRAMA!C20</f>
        <v>0</v>
      </c>
      <c r="E20" s="49">
        <f>KDDI!C20</f>
        <v>0</v>
      </c>
      <c r="F20" s="51">
        <f>PORD!C20</f>
        <v>0</v>
      </c>
      <c r="G20" s="45">
        <f t="shared" si="1"/>
        <v>0</v>
      </c>
    </row>
    <row r="21" spans="1:7" x14ac:dyDescent="0.35">
      <c r="A21" s="44">
        <v>16</v>
      </c>
      <c r="B21" s="20" t="s">
        <v>16</v>
      </c>
      <c r="C21" s="41">
        <f>PRAGATHI!C21</f>
        <v>0</v>
      </c>
      <c r="D21" s="49">
        <f>SRAMA!C21</f>
        <v>0</v>
      </c>
      <c r="E21" s="49">
        <f>KDDI!C21</f>
        <v>0</v>
      </c>
      <c r="F21" s="51">
        <f>PORD!C21</f>
        <v>0</v>
      </c>
      <c r="G21" s="45">
        <f t="shared" si="1"/>
        <v>0</v>
      </c>
    </row>
    <row r="22" spans="1:7" x14ac:dyDescent="0.35">
      <c r="A22" s="44">
        <v>17</v>
      </c>
      <c r="B22" s="20" t="s">
        <v>17</v>
      </c>
      <c r="C22" s="41">
        <f>PRAGATHI!C22</f>
        <v>0</v>
      </c>
      <c r="D22" s="49">
        <f>SRAMA!C22</f>
        <v>0</v>
      </c>
      <c r="E22" s="49">
        <f>KDDI!C22</f>
        <v>0</v>
      </c>
      <c r="F22" s="51">
        <f>PORD!C22</f>
        <v>0</v>
      </c>
      <c r="G22" s="45">
        <f t="shared" si="1"/>
        <v>0</v>
      </c>
    </row>
    <row r="23" spans="1:7" x14ac:dyDescent="0.35">
      <c r="A23" s="44">
        <v>18</v>
      </c>
      <c r="B23" s="20" t="s">
        <v>18</v>
      </c>
      <c r="C23" s="41">
        <f>PRAGATHI!C23</f>
        <v>0</v>
      </c>
      <c r="D23" s="49">
        <f>SRAMA!C23</f>
        <v>0</v>
      </c>
      <c r="E23" s="49">
        <f>KDDI!C23</f>
        <v>0</v>
      </c>
      <c r="F23" s="51">
        <f>PORD!C23</f>
        <v>0</v>
      </c>
      <c r="G23" s="45">
        <f t="shared" si="1"/>
        <v>0</v>
      </c>
    </row>
    <row r="24" spans="1:7" x14ac:dyDescent="0.35">
      <c r="A24" s="44">
        <v>19</v>
      </c>
      <c r="B24" s="20" t="s">
        <v>19</v>
      </c>
      <c r="C24" s="41">
        <f>PRAGATHI!C24</f>
        <v>0</v>
      </c>
      <c r="D24" s="49">
        <f>SRAMA!C24</f>
        <v>0</v>
      </c>
      <c r="E24" s="49">
        <f>KDDI!C24</f>
        <v>0</v>
      </c>
      <c r="F24" s="51">
        <f>PORD!C24</f>
        <v>0</v>
      </c>
      <c r="G24" s="45">
        <f t="shared" si="1"/>
        <v>0</v>
      </c>
    </row>
    <row r="25" spans="1:7" x14ac:dyDescent="0.35">
      <c r="A25" s="44">
        <v>20</v>
      </c>
      <c r="B25" s="20" t="s">
        <v>20</v>
      </c>
      <c r="C25" s="41">
        <f>PRAGATHI!C25</f>
        <v>16</v>
      </c>
      <c r="D25" s="49">
        <f>SRAMA!C25</f>
        <v>5</v>
      </c>
      <c r="E25" s="49">
        <f>KDDI!C25</f>
        <v>0</v>
      </c>
      <c r="F25" s="51">
        <f>PORD!C25</f>
        <v>0</v>
      </c>
      <c r="G25" s="45">
        <f t="shared" si="1"/>
        <v>21</v>
      </c>
    </row>
    <row r="26" spans="1:7" x14ac:dyDescent="0.35">
      <c r="A26" s="44">
        <v>21</v>
      </c>
      <c r="B26" s="20" t="s">
        <v>38</v>
      </c>
      <c r="C26" s="41">
        <f>PRAGATHI!C26</f>
        <v>77</v>
      </c>
      <c r="D26" s="49">
        <f>SRAMA!C26</f>
        <v>12</v>
      </c>
      <c r="E26" s="49">
        <f>KDDI!C26</f>
        <v>7</v>
      </c>
      <c r="F26" s="51">
        <f>PORD!C26</f>
        <v>43</v>
      </c>
      <c r="G26" s="45">
        <f t="shared" si="1"/>
        <v>139</v>
      </c>
    </row>
    <row r="27" spans="1:7" x14ac:dyDescent="0.35">
      <c r="A27" s="48"/>
      <c r="B27" s="47" t="s">
        <v>21</v>
      </c>
      <c r="C27" s="59"/>
      <c r="D27" s="117"/>
      <c r="E27" s="62"/>
      <c r="F27" s="62"/>
      <c r="G27" s="64"/>
    </row>
    <row r="28" spans="1:7" x14ac:dyDescent="0.35">
      <c r="A28" s="44">
        <v>22</v>
      </c>
      <c r="B28" s="20" t="s">
        <v>48</v>
      </c>
      <c r="C28" s="41">
        <f>PRAGATHI!C28</f>
        <v>0</v>
      </c>
      <c r="D28" s="49">
        <f>SRAMA!C28</f>
        <v>0</v>
      </c>
      <c r="E28" s="49">
        <f>KDDI!C28</f>
        <v>0</v>
      </c>
      <c r="F28" s="50">
        <f>PORD!C28</f>
        <v>0</v>
      </c>
      <c r="G28" s="45">
        <f t="shared" ref="G28:G42" si="2">SUM(C28:F28)</f>
        <v>0</v>
      </c>
    </row>
    <row r="29" spans="1:7" x14ac:dyDescent="0.35">
      <c r="A29" s="44">
        <v>23</v>
      </c>
      <c r="B29" s="20" t="s">
        <v>49</v>
      </c>
      <c r="C29" s="41">
        <f>PRAGATHI!C29</f>
        <v>0</v>
      </c>
      <c r="D29" s="49">
        <f>SRAMA!C29</f>
        <v>0</v>
      </c>
      <c r="E29" s="49">
        <f>KDDI!C29</f>
        <v>0</v>
      </c>
      <c r="F29" s="50">
        <f>PORD!C29</f>
        <v>0</v>
      </c>
      <c r="G29" s="45">
        <f t="shared" si="2"/>
        <v>0</v>
      </c>
    </row>
    <row r="30" spans="1:7" ht="29" x14ac:dyDescent="0.35">
      <c r="A30" s="44">
        <v>24</v>
      </c>
      <c r="B30" s="20" t="s">
        <v>42</v>
      </c>
      <c r="C30" s="41">
        <f>PRAGATHI!C30</f>
        <v>0</v>
      </c>
      <c r="D30" s="49">
        <f>SRAMA!C30</f>
        <v>0</v>
      </c>
      <c r="E30" s="49">
        <f>KDDI!C30</f>
        <v>0</v>
      </c>
      <c r="F30" s="50">
        <f>PORD!C30</f>
        <v>0</v>
      </c>
      <c r="G30" s="45">
        <f t="shared" si="2"/>
        <v>0</v>
      </c>
    </row>
    <row r="31" spans="1:7" ht="29" x14ac:dyDescent="0.35">
      <c r="A31" s="52">
        <v>25</v>
      </c>
      <c r="B31" s="53" t="s">
        <v>50</v>
      </c>
      <c r="C31" s="41">
        <f>PRAGATHI!C31</f>
        <v>2</v>
      </c>
      <c r="D31" s="49">
        <f>SRAMA!C31</f>
        <v>9</v>
      </c>
      <c r="E31" s="49">
        <f>KDDI!C31</f>
        <v>0</v>
      </c>
      <c r="F31" s="50">
        <f>PORD!C31</f>
        <v>4</v>
      </c>
      <c r="G31" s="39">
        <f t="shared" si="2"/>
        <v>15</v>
      </c>
    </row>
    <row r="32" spans="1:7" ht="29" x14ac:dyDescent="0.35">
      <c r="A32" s="52">
        <v>26</v>
      </c>
      <c r="B32" s="53" t="s">
        <v>51</v>
      </c>
      <c r="C32" s="41">
        <f>PRAGATHI!C32</f>
        <v>8</v>
      </c>
      <c r="D32" s="49">
        <f>SRAMA!C32</f>
        <v>16</v>
      </c>
      <c r="E32" s="49">
        <f>KDDI!C32</f>
        <v>0</v>
      </c>
      <c r="F32" s="50">
        <f>PORD!C32</f>
        <v>13</v>
      </c>
      <c r="G32" s="39">
        <f t="shared" si="2"/>
        <v>37</v>
      </c>
    </row>
    <row r="33" spans="1:8" x14ac:dyDescent="0.35">
      <c r="A33" s="44">
        <v>27</v>
      </c>
      <c r="B33" s="20" t="s">
        <v>46</v>
      </c>
      <c r="C33" s="41">
        <f>PRAGATHI!C33</f>
        <v>0</v>
      </c>
      <c r="D33" s="49">
        <f>SRAMA!C33</f>
        <v>0</v>
      </c>
      <c r="E33" s="49">
        <f>KDDI!C33</f>
        <v>0</v>
      </c>
      <c r="F33" s="50">
        <f>PORD!C33</f>
        <v>0</v>
      </c>
      <c r="G33" s="45">
        <f t="shared" si="2"/>
        <v>0</v>
      </c>
    </row>
    <row r="34" spans="1:8" x14ac:dyDescent="0.35">
      <c r="A34" s="44">
        <v>28</v>
      </c>
      <c r="B34" s="20" t="s">
        <v>47</v>
      </c>
      <c r="C34" s="41">
        <f>PRAGATHI!C34</f>
        <v>0</v>
      </c>
      <c r="D34" s="49">
        <f>SRAMA!C34</f>
        <v>0</v>
      </c>
      <c r="E34" s="49">
        <f>KDDI!C34</f>
        <v>0</v>
      </c>
      <c r="F34" s="50">
        <f>PORD!C34</f>
        <v>0</v>
      </c>
      <c r="G34" s="45">
        <f t="shared" si="2"/>
        <v>0</v>
      </c>
      <c r="H34" t="s">
        <v>161</v>
      </c>
    </row>
    <row r="35" spans="1:8" x14ac:dyDescent="0.35">
      <c r="A35" s="44">
        <v>29</v>
      </c>
      <c r="B35" s="20" t="s">
        <v>22</v>
      </c>
      <c r="C35" s="41">
        <f>PRAGATHI!C35</f>
        <v>10</v>
      </c>
      <c r="D35" s="49">
        <f>SRAMA!C35</f>
        <v>17</v>
      </c>
      <c r="E35" s="49">
        <f>KDDI!C35</f>
        <v>0</v>
      </c>
      <c r="F35" s="50">
        <f>PORD!C35</f>
        <v>0</v>
      </c>
      <c r="G35" s="45">
        <f t="shared" si="2"/>
        <v>27</v>
      </c>
    </row>
    <row r="36" spans="1:8" x14ac:dyDescent="0.35">
      <c r="A36" s="44">
        <v>30</v>
      </c>
      <c r="B36" s="20" t="s">
        <v>23</v>
      </c>
      <c r="C36" s="41">
        <f>PRAGATHI!C36</f>
        <v>62</v>
      </c>
      <c r="D36" s="49">
        <f>SRAMA!C36</f>
        <v>0</v>
      </c>
      <c r="E36" s="49">
        <f>KDDI!C36</f>
        <v>2</v>
      </c>
      <c r="F36" s="50">
        <f>PORD!C36</f>
        <v>139</v>
      </c>
      <c r="G36" s="45">
        <f t="shared" si="2"/>
        <v>203</v>
      </c>
    </row>
    <row r="37" spans="1:8" x14ac:dyDescent="0.35">
      <c r="A37" s="44">
        <v>31</v>
      </c>
      <c r="B37" s="20" t="s">
        <v>24</v>
      </c>
      <c r="C37" s="41">
        <f>PRAGATHI!C37</f>
        <v>29</v>
      </c>
      <c r="D37" s="49">
        <f>SRAMA!C37</f>
        <v>17</v>
      </c>
      <c r="E37" s="49">
        <f>KDDI!C37</f>
        <v>0</v>
      </c>
      <c r="F37" s="50">
        <f>PORD!C37</f>
        <v>0</v>
      </c>
      <c r="G37" s="45">
        <f t="shared" si="2"/>
        <v>46</v>
      </c>
    </row>
    <row r="38" spans="1:8" ht="13.5" customHeight="1" x14ac:dyDescent="0.35">
      <c r="A38" s="44">
        <v>32</v>
      </c>
      <c r="B38" s="20" t="s">
        <v>37</v>
      </c>
      <c r="C38" s="41">
        <f>PRAGATHI!C38</f>
        <v>5</v>
      </c>
      <c r="D38" s="49">
        <f>SRAMA!C38</f>
        <v>0</v>
      </c>
      <c r="E38" s="49">
        <f>KDDI!C38</f>
        <v>1</v>
      </c>
      <c r="F38" s="50">
        <f>PORD!C38</f>
        <v>0</v>
      </c>
      <c r="G38" s="45">
        <f t="shared" si="2"/>
        <v>6</v>
      </c>
    </row>
    <row r="39" spans="1:8" ht="29" x14ac:dyDescent="0.35">
      <c r="A39" s="44">
        <v>33</v>
      </c>
      <c r="B39" s="20" t="s">
        <v>25</v>
      </c>
      <c r="C39" s="41">
        <f>PRAGATHI!C39</f>
        <v>0</v>
      </c>
      <c r="D39" s="49">
        <f>SRAMA!C39</f>
        <v>0</v>
      </c>
      <c r="E39" s="49">
        <f>KDDI!C39</f>
        <v>0</v>
      </c>
      <c r="F39" s="50">
        <f>PORD!C39</f>
        <v>0</v>
      </c>
      <c r="G39" s="39">
        <f t="shared" si="2"/>
        <v>0</v>
      </c>
    </row>
    <row r="40" spans="1:8" x14ac:dyDescent="0.35">
      <c r="A40" s="44">
        <v>34</v>
      </c>
      <c r="B40" s="54" t="s">
        <v>39</v>
      </c>
      <c r="C40" s="41">
        <f>PRAGATHI!C40</f>
        <v>8</v>
      </c>
      <c r="D40" s="49">
        <f>SRAMA!C40</f>
        <v>9</v>
      </c>
      <c r="E40" s="49">
        <f>KDDI!C40</f>
        <v>0</v>
      </c>
      <c r="F40" s="50">
        <f>PORD!C40</f>
        <v>0</v>
      </c>
      <c r="G40" s="45">
        <f t="shared" si="2"/>
        <v>17</v>
      </c>
    </row>
    <row r="41" spans="1:8" x14ac:dyDescent="0.35">
      <c r="A41" s="44">
        <v>35</v>
      </c>
      <c r="B41" s="20" t="s">
        <v>26</v>
      </c>
      <c r="C41" s="41">
        <f>PRAGATHI!C41</f>
        <v>2</v>
      </c>
      <c r="D41" s="49">
        <f>SRAMA!C41</f>
        <v>0</v>
      </c>
      <c r="E41" s="49">
        <f>KDDI!C41</f>
        <v>0</v>
      </c>
      <c r="F41" s="50">
        <f>PORD!C41</f>
        <v>0</v>
      </c>
      <c r="G41" s="45">
        <f t="shared" si="2"/>
        <v>2</v>
      </c>
    </row>
    <row r="42" spans="1:8" x14ac:dyDescent="0.35">
      <c r="A42" s="44">
        <v>36</v>
      </c>
      <c r="B42" s="20" t="s">
        <v>43</v>
      </c>
      <c r="C42" s="41">
        <f>PRAGATHI!C42</f>
        <v>0</v>
      </c>
      <c r="D42" s="49">
        <f>SRAMA!C42</f>
        <v>2</v>
      </c>
      <c r="E42" s="49">
        <f>KDDI!C42</f>
        <v>1</v>
      </c>
      <c r="F42" s="50">
        <f>PORD!C42</f>
        <v>0</v>
      </c>
      <c r="G42" s="45">
        <f t="shared" si="2"/>
        <v>3</v>
      </c>
    </row>
    <row r="43" spans="1:8" x14ac:dyDescent="0.35">
      <c r="A43" s="48"/>
      <c r="B43" s="47" t="s">
        <v>27</v>
      </c>
      <c r="C43" s="59"/>
      <c r="D43" s="117"/>
      <c r="E43" s="62"/>
      <c r="F43" s="62"/>
      <c r="G43" s="64"/>
    </row>
    <row r="44" spans="1:8" x14ac:dyDescent="0.35">
      <c r="A44" s="44">
        <v>37</v>
      </c>
      <c r="B44" s="20" t="s">
        <v>28</v>
      </c>
      <c r="C44" s="41">
        <f>PRAGATHI!C44</f>
        <v>68</v>
      </c>
      <c r="D44" s="49">
        <f>SRAMA!C44</f>
        <v>25</v>
      </c>
      <c r="E44" s="49">
        <f>KDDI!C44</f>
        <v>11</v>
      </c>
      <c r="F44" s="51">
        <f>PORD!C44</f>
        <v>50</v>
      </c>
      <c r="G44" s="39">
        <f t="shared" ref="G44:G57" si="3">SUM(C44:F44)</f>
        <v>154</v>
      </c>
    </row>
    <row r="45" spans="1:8" ht="29" x14ac:dyDescent="0.35">
      <c r="A45" s="44">
        <v>38</v>
      </c>
      <c r="B45" s="20" t="s">
        <v>52</v>
      </c>
      <c r="C45" s="41">
        <f>PRAGATHI!C45</f>
        <v>1</v>
      </c>
      <c r="D45" s="49">
        <f>SRAMA!C45</f>
        <v>1</v>
      </c>
      <c r="E45" s="49">
        <f>KDDI!C45</f>
        <v>2</v>
      </c>
      <c r="F45" s="51">
        <f>PORD!C45</f>
        <v>3</v>
      </c>
      <c r="G45" s="39">
        <f t="shared" si="3"/>
        <v>7</v>
      </c>
    </row>
    <row r="46" spans="1:8" ht="17" customHeight="1" x14ac:dyDescent="0.35">
      <c r="A46" s="44">
        <v>39</v>
      </c>
      <c r="B46" s="20" t="s">
        <v>40</v>
      </c>
      <c r="C46" s="41">
        <f>PRAGATHI!C46</f>
        <v>21</v>
      </c>
      <c r="D46" s="49">
        <f>SRAMA!C46</f>
        <v>36</v>
      </c>
      <c r="E46" s="49">
        <f>KDDI!C46</f>
        <v>4</v>
      </c>
      <c r="F46" s="51">
        <f>PORD!C46</f>
        <v>20</v>
      </c>
      <c r="G46" s="39">
        <f t="shared" si="3"/>
        <v>81</v>
      </c>
    </row>
    <row r="47" spans="1:8" x14ac:dyDescent="0.35">
      <c r="A47" s="44">
        <v>40</v>
      </c>
      <c r="B47" s="20" t="s">
        <v>41</v>
      </c>
      <c r="C47" s="41">
        <f>PRAGATHI!C47</f>
        <v>419</v>
      </c>
      <c r="D47" s="49">
        <f>SRAMA!C47</f>
        <v>472</v>
      </c>
      <c r="E47" s="49">
        <f>KDDI!C47</f>
        <v>86</v>
      </c>
      <c r="F47" s="51">
        <f>PORD!C47</f>
        <v>331</v>
      </c>
      <c r="G47" s="39">
        <f t="shared" si="3"/>
        <v>1308</v>
      </c>
    </row>
    <row r="48" spans="1:8" x14ac:dyDescent="0.35">
      <c r="A48" s="44">
        <v>41</v>
      </c>
      <c r="B48" s="20" t="s">
        <v>33</v>
      </c>
      <c r="C48" s="41">
        <f>PRAGATHI!C48</f>
        <v>4</v>
      </c>
      <c r="D48" s="49">
        <f>SRAMA!C48</f>
        <v>0</v>
      </c>
      <c r="E48" s="49">
        <f>KDDI!C48</f>
        <v>0</v>
      </c>
      <c r="F48" s="51">
        <f>PORD!C48</f>
        <v>0</v>
      </c>
      <c r="G48" s="39">
        <f t="shared" si="3"/>
        <v>4</v>
      </c>
    </row>
    <row r="49" spans="1:7" x14ac:dyDescent="0.35">
      <c r="A49" s="44">
        <v>42</v>
      </c>
      <c r="B49" s="20" t="s">
        <v>53</v>
      </c>
      <c r="C49" s="41">
        <f>PRAGATHI!C49</f>
        <v>0</v>
      </c>
      <c r="D49" s="49">
        <f>SRAMA!C49</f>
        <v>4</v>
      </c>
      <c r="E49" s="49">
        <f>KDDI!C49</f>
        <v>0</v>
      </c>
      <c r="F49" s="51">
        <f>PORD!C49</f>
        <v>0</v>
      </c>
      <c r="G49" s="39">
        <f t="shared" si="3"/>
        <v>4</v>
      </c>
    </row>
    <row r="50" spans="1:7" x14ac:dyDescent="0.35">
      <c r="A50" s="44">
        <v>43</v>
      </c>
      <c r="B50" s="20" t="s">
        <v>34</v>
      </c>
      <c r="C50" s="41">
        <f>PRAGATHI!C50</f>
        <v>55</v>
      </c>
      <c r="D50" s="49">
        <f>SRAMA!C50</f>
        <v>14</v>
      </c>
      <c r="E50" s="49">
        <f>KDDI!C50</f>
        <v>10</v>
      </c>
      <c r="F50" s="51">
        <f>PORD!C50</f>
        <v>51</v>
      </c>
      <c r="G50" s="39">
        <f t="shared" si="3"/>
        <v>130</v>
      </c>
    </row>
    <row r="51" spans="1:7" ht="29" x14ac:dyDescent="0.35">
      <c r="A51" s="44">
        <v>44</v>
      </c>
      <c r="B51" s="20" t="s">
        <v>55</v>
      </c>
      <c r="C51" s="41">
        <f>PRAGATHI!C51</f>
        <v>10</v>
      </c>
      <c r="D51" s="49">
        <f>SRAMA!C51</f>
        <v>14</v>
      </c>
      <c r="E51" s="49">
        <f>KDDI!C51</f>
        <v>8</v>
      </c>
      <c r="F51" s="51">
        <f>PORD!C51</f>
        <v>51</v>
      </c>
      <c r="G51" s="39">
        <f t="shared" si="3"/>
        <v>83</v>
      </c>
    </row>
    <row r="52" spans="1:7" ht="29" x14ac:dyDescent="0.35">
      <c r="A52" s="44">
        <v>45</v>
      </c>
      <c r="B52" s="20" t="s">
        <v>54</v>
      </c>
      <c r="C52" s="41">
        <f>PRAGATHI!C52</f>
        <v>325</v>
      </c>
      <c r="D52" s="49">
        <f>SRAMA!C52</f>
        <v>246</v>
      </c>
      <c r="E52" s="49">
        <f>KDDI!C52</f>
        <v>149</v>
      </c>
      <c r="F52" s="51">
        <f>PORD!C52</f>
        <v>580</v>
      </c>
      <c r="G52" s="39">
        <f t="shared" si="3"/>
        <v>1300</v>
      </c>
    </row>
    <row r="53" spans="1:7" x14ac:dyDescent="0.35">
      <c r="A53" s="48"/>
      <c r="B53" s="47" t="s">
        <v>29</v>
      </c>
      <c r="C53" s="59"/>
      <c r="D53" s="117"/>
      <c r="E53" s="65"/>
      <c r="F53" s="62"/>
      <c r="G53" s="64"/>
    </row>
    <row r="54" spans="1:7" ht="29" x14ac:dyDescent="0.35">
      <c r="A54" s="44">
        <v>46</v>
      </c>
      <c r="B54" s="20" t="s">
        <v>30</v>
      </c>
      <c r="C54" s="41">
        <f>PRAGATHI!C54</f>
        <v>467</v>
      </c>
      <c r="D54" s="49">
        <f>SRAMA!C54</f>
        <v>146</v>
      </c>
      <c r="E54" s="49">
        <f>KDDI!C54</f>
        <v>38</v>
      </c>
      <c r="F54" s="51">
        <f>PORD!C54</f>
        <v>534</v>
      </c>
      <c r="G54" s="39">
        <f t="shared" si="3"/>
        <v>1185</v>
      </c>
    </row>
    <row r="55" spans="1:7" x14ac:dyDescent="0.35">
      <c r="A55" s="55"/>
      <c r="B55" s="47" t="s">
        <v>31</v>
      </c>
      <c r="C55" s="59"/>
      <c r="D55" s="117"/>
      <c r="E55" s="62"/>
      <c r="F55" s="62"/>
      <c r="G55" s="64"/>
    </row>
    <row r="56" spans="1:7" x14ac:dyDescent="0.35">
      <c r="A56" s="44">
        <v>47</v>
      </c>
      <c r="B56" s="20" t="s">
        <v>35</v>
      </c>
      <c r="C56" s="41">
        <f>PRAGATHI!C56</f>
        <v>5</v>
      </c>
      <c r="D56" s="49">
        <f>SRAMA!C56</f>
        <v>5</v>
      </c>
      <c r="E56" s="49">
        <f>KDDI!C56</f>
        <v>1</v>
      </c>
      <c r="F56" s="50">
        <f>PORD!C56</f>
        <v>1</v>
      </c>
      <c r="G56" s="45">
        <f t="shared" si="3"/>
        <v>12</v>
      </c>
    </row>
    <row r="57" spans="1:7" x14ac:dyDescent="0.35">
      <c r="A57" s="44">
        <v>48</v>
      </c>
      <c r="B57" s="20" t="s">
        <v>36</v>
      </c>
      <c r="C57" s="41">
        <f>PRAGATHI!C57</f>
        <v>9</v>
      </c>
      <c r="D57" s="49">
        <f>SRAMA!C57</f>
        <v>5</v>
      </c>
      <c r="E57" s="49">
        <f>KDDI!C57</f>
        <v>0</v>
      </c>
      <c r="F57" s="50">
        <f>PORD!C57</f>
        <v>0</v>
      </c>
      <c r="G57" s="45">
        <f t="shared" si="3"/>
        <v>14</v>
      </c>
    </row>
    <row r="58" spans="1:7" x14ac:dyDescent="0.35">
      <c r="D58" s="49"/>
    </row>
    <row r="59" spans="1:7" x14ac:dyDescent="0.35">
      <c r="D59" s="49"/>
    </row>
  </sheetData>
  <mergeCells count="3">
    <mergeCell ref="A1:C1"/>
    <mergeCell ref="A2:C2"/>
    <mergeCell ref="C3:F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DE08-9642-46F1-B2F9-FD22A8D7B09D}">
  <dimension ref="A1:G57"/>
  <sheetViews>
    <sheetView topLeftCell="A46" workbookViewId="0">
      <selection activeCell="G26" sqref="G26"/>
    </sheetView>
  </sheetViews>
  <sheetFormatPr defaultRowHeight="14.5" x14ac:dyDescent="0.35"/>
  <cols>
    <col min="2" max="2" width="40.453125" customWidth="1"/>
    <col min="7" max="7" width="39.54296875" customWidth="1"/>
  </cols>
  <sheetData>
    <row r="1" spans="1:7" x14ac:dyDescent="0.35">
      <c r="A1" s="137" t="s">
        <v>128</v>
      </c>
      <c r="B1" s="138"/>
      <c r="C1" s="138"/>
      <c r="D1" s="138"/>
      <c r="E1" s="139"/>
      <c r="F1" s="103"/>
    </row>
    <row r="2" spans="1:7" x14ac:dyDescent="0.35">
      <c r="A2" s="140"/>
      <c r="B2" s="141"/>
      <c r="C2" s="141"/>
      <c r="D2" s="141"/>
      <c r="E2" s="142"/>
      <c r="F2" s="103"/>
    </row>
    <row r="3" spans="1:7" ht="26" x14ac:dyDescent="0.35">
      <c r="A3" s="8" t="s">
        <v>111</v>
      </c>
      <c r="B3" s="8" t="s">
        <v>1</v>
      </c>
      <c r="C3" s="143" t="s">
        <v>81</v>
      </c>
      <c r="D3" s="144"/>
      <c r="E3" s="145"/>
      <c r="F3" s="104"/>
    </row>
    <row r="4" spans="1:7" x14ac:dyDescent="0.35">
      <c r="A4" s="1"/>
      <c r="B4" s="37" t="s">
        <v>2</v>
      </c>
      <c r="C4" s="37" t="s">
        <v>58</v>
      </c>
      <c r="D4" s="37" t="s">
        <v>59</v>
      </c>
      <c r="E4" s="38" t="s">
        <v>112</v>
      </c>
      <c r="F4" s="105"/>
    </row>
    <row r="5" spans="1:7" x14ac:dyDescent="0.35">
      <c r="A5" s="18">
        <v>1</v>
      </c>
      <c r="B5" s="14" t="s">
        <v>44</v>
      </c>
      <c r="C5" s="11">
        <v>0</v>
      </c>
      <c r="D5" s="11">
        <v>0</v>
      </c>
      <c r="E5" s="1">
        <v>0</v>
      </c>
      <c r="F5" s="106">
        <f>E5</f>
        <v>0</v>
      </c>
      <c r="G5" s="15"/>
    </row>
    <row r="6" spans="1:7" x14ac:dyDescent="0.35">
      <c r="A6" s="18">
        <v>2</v>
      </c>
      <c r="B6" s="14" t="s">
        <v>113</v>
      </c>
      <c r="C6" s="11">
        <v>0</v>
      </c>
      <c r="D6" s="11">
        <v>0</v>
      </c>
      <c r="E6" s="1">
        <v>0</v>
      </c>
      <c r="F6" s="106">
        <f t="shared" ref="F6:F11" si="0">E6</f>
        <v>0</v>
      </c>
      <c r="G6" s="15"/>
    </row>
    <row r="7" spans="1:7" x14ac:dyDescent="0.35">
      <c r="A7" s="18">
        <v>3</v>
      </c>
      <c r="B7" s="14" t="s">
        <v>3</v>
      </c>
      <c r="C7" s="11">
        <v>0</v>
      </c>
      <c r="D7" s="11">
        <v>0</v>
      </c>
      <c r="E7" s="1">
        <v>0</v>
      </c>
      <c r="F7" s="106">
        <f t="shared" si="0"/>
        <v>0</v>
      </c>
      <c r="G7" s="15"/>
    </row>
    <row r="8" spans="1:7" ht="26" x14ac:dyDescent="0.35">
      <c r="A8" s="18">
        <v>4</v>
      </c>
      <c r="B8" s="14" t="s">
        <v>4</v>
      </c>
      <c r="C8" s="11">
        <v>29</v>
      </c>
      <c r="D8" s="11">
        <v>19</v>
      </c>
      <c r="E8" s="1">
        <v>48</v>
      </c>
      <c r="F8" s="106">
        <f t="shared" si="0"/>
        <v>48</v>
      </c>
      <c r="G8" s="15"/>
    </row>
    <row r="9" spans="1:7" ht="26" x14ac:dyDescent="0.35">
      <c r="A9" s="18">
        <v>5</v>
      </c>
      <c r="B9" s="14" t="s">
        <v>5</v>
      </c>
      <c r="C9" s="11">
        <v>0</v>
      </c>
      <c r="D9" s="11">
        <v>0</v>
      </c>
      <c r="E9" s="1">
        <v>0</v>
      </c>
      <c r="F9" s="106">
        <f t="shared" si="0"/>
        <v>0</v>
      </c>
      <c r="G9" s="15"/>
    </row>
    <row r="10" spans="1:7" x14ac:dyDescent="0.35">
      <c r="A10" s="18">
        <v>6</v>
      </c>
      <c r="B10" s="14" t="s">
        <v>6</v>
      </c>
      <c r="C10" s="11">
        <v>0</v>
      </c>
      <c r="D10" s="11">
        <v>0</v>
      </c>
      <c r="E10" s="1">
        <v>0</v>
      </c>
      <c r="F10" s="106">
        <f t="shared" si="0"/>
        <v>0</v>
      </c>
      <c r="G10" s="15"/>
    </row>
    <row r="11" spans="1:7" ht="26" x14ac:dyDescent="0.35">
      <c r="A11" s="18">
        <v>7</v>
      </c>
      <c r="B11" s="14" t="s">
        <v>32</v>
      </c>
      <c r="C11" s="11">
        <v>0</v>
      </c>
      <c r="D11" s="11">
        <v>0</v>
      </c>
      <c r="E11" s="1">
        <v>0</v>
      </c>
      <c r="F11" s="106">
        <f t="shared" si="0"/>
        <v>0</v>
      </c>
      <c r="G11" s="15"/>
    </row>
    <row r="12" spans="1:7" x14ac:dyDescent="0.35">
      <c r="A12" s="18"/>
      <c r="B12" s="118" t="s">
        <v>7</v>
      </c>
      <c r="C12" s="146"/>
      <c r="D12" s="146"/>
      <c r="E12" s="119"/>
      <c r="F12" s="107"/>
      <c r="G12" s="15"/>
    </row>
    <row r="13" spans="1:7" ht="26" x14ac:dyDescent="0.35">
      <c r="A13" s="18">
        <v>8</v>
      </c>
      <c r="B13" s="14" t="s">
        <v>8</v>
      </c>
      <c r="C13" s="134">
        <v>0</v>
      </c>
      <c r="D13" s="135"/>
      <c r="E13" s="136"/>
      <c r="F13" s="108">
        <v>0</v>
      </c>
      <c r="G13" s="15"/>
    </row>
    <row r="14" spans="1:7" x14ac:dyDescent="0.35">
      <c r="A14" s="18">
        <v>9</v>
      </c>
      <c r="B14" s="14" t="s">
        <v>9</v>
      </c>
      <c r="C14" s="11">
        <v>0</v>
      </c>
      <c r="D14" s="11">
        <v>0</v>
      </c>
      <c r="E14" s="1">
        <v>0</v>
      </c>
      <c r="F14" s="106">
        <v>0</v>
      </c>
      <c r="G14" s="15"/>
    </row>
    <row r="15" spans="1:7" ht="26" x14ac:dyDescent="0.35">
      <c r="A15" s="18">
        <v>10</v>
      </c>
      <c r="B15" s="14" t="s">
        <v>10</v>
      </c>
      <c r="C15" s="134">
        <v>0</v>
      </c>
      <c r="D15" s="135"/>
      <c r="E15" s="136"/>
      <c r="F15" s="106">
        <v>0</v>
      </c>
      <c r="G15" s="15"/>
    </row>
    <row r="16" spans="1:7" ht="26" x14ac:dyDescent="0.35">
      <c r="A16" s="18">
        <v>11</v>
      </c>
      <c r="B16" s="14" t="s">
        <v>11</v>
      </c>
      <c r="C16" s="134">
        <v>0</v>
      </c>
      <c r="D16" s="135"/>
      <c r="E16" s="136"/>
      <c r="F16" s="106">
        <v>0</v>
      </c>
      <c r="G16" s="15"/>
    </row>
    <row r="17" spans="1:7" ht="26" x14ac:dyDescent="0.35">
      <c r="A17" s="18">
        <v>12</v>
      </c>
      <c r="B17" s="14" t="s">
        <v>12</v>
      </c>
      <c r="C17" s="134">
        <v>0</v>
      </c>
      <c r="D17" s="135"/>
      <c r="E17" s="136"/>
      <c r="F17" s="106">
        <v>0</v>
      </c>
    </row>
    <row r="18" spans="1:7" ht="26" x14ac:dyDescent="0.35">
      <c r="A18" s="18">
        <v>13</v>
      </c>
      <c r="B18" s="14" t="s">
        <v>13</v>
      </c>
      <c r="C18" s="134">
        <v>0</v>
      </c>
      <c r="D18" s="135"/>
      <c r="E18" s="136"/>
      <c r="F18" s="106">
        <v>0</v>
      </c>
    </row>
    <row r="19" spans="1:7" ht="26" x14ac:dyDescent="0.35">
      <c r="A19" s="18">
        <v>14</v>
      </c>
      <c r="B19" s="14" t="s">
        <v>14</v>
      </c>
      <c r="C19" s="134">
        <v>0</v>
      </c>
      <c r="D19" s="135"/>
      <c r="E19" s="136"/>
      <c r="F19" s="106">
        <v>0</v>
      </c>
    </row>
    <row r="20" spans="1:7" ht="26" x14ac:dyDescent="0.35">
      <c r="A20" s="18">
        <v>15</v>
      </c>
      <c r="B20" s="14" t="s">
        <v>15</v>
      </c>
      <c r="C20" s="134">
        <v>0</v>
      </c>
      <c r="D20" s="135"/>
      <c r="E20" s="136"/>
      <c r="F20" s="106">
        <v>0</v>
      </c>
    </row>
    <row r="21" spans="1:7" x14ac:dyDescent="0.35">
      <c r="A21" s="18">
        <v>16</v>
      </c>
      <c r="B21" s="14" t="s">
        <v>16</v>
      </c>
      <c r="C21" s="134">
        <v>0</v>
      </c>
      <c r="D21" s="135"/>
      <c r="E21" s="136"/>
      <c r="F21" s="106">
        <v>0</v>
      </c>
    </row>
    <row r="22" spans="1:7" x14ac:dyDescent="0.35">
      <c r="A22" s="18">
        <v>17</v>
      </c>
      <c r="B22" s="14" t="s">
        <v>17</v>
      </c>
      <c r="C22" s="134">
        <v>0</v>
      </c>
      <c r="D22" s="135"/>
      <c r="E22" s="136"/>
      <c r="F22" s="106">
        <v>0</v>
      </c>
    </row>
    <row r="23" spans="1:7" ht="26" x14ac:dyDescent="0.35">
      <c r="A23" s="18">
        <v>18</v>
      </c>
      <c r="B23" s="14" t="s">
        <v>18</v>
      </c>
      <c r="C23" s="134">
        <v>0</v>
      </c>
      <c r="D23" s="135"/>
      <c r="E23" s="136"/>
      <c r="F23" s="106">
        <v>0</v>
      </c>
    </row>
    <row r="24" spans="1:7" ht="26" x14ac:dyDescent="0.35">
      <c r="A24" s="18">
        <v>19</v>
      </c>
      <c r="B24" s="14" t="s">
        <v>19</v>
      </c>
      <c r="C24" s="134">
        <v>0</v>
      </c>
      <c r="D24" s="135"/>
      <c r="E24" s="136"/>
      <c r="F24" s="106">
        <v>0</v>
      </c>
    </row>
    <row r="25" spans="1:7" ht="26" x14ac:dyDescent="0.35">
      <c r="A25" s="18">
        <v>20</v>
      </c>
      <c r="B25" s="14" t="s">
        <v>20</v>
      </c>
      <c r="C25" s="11">
        <v>0</v>
      </c>
      <c r="D25" s="11">
        <v>0</v>
      </c>
      <c r="E25" s="1">
        <v>0</v>
      </c>
      <c r="F25" s="106">
        <v>0</v>
      </c>
    </row>
    <row r="26" spans="1:7" ht="29" x14ac:dyDescent="0.35">
      <c r="A26" s="18">
        <v>21</v>
      </c>
      <c r="B26" s="14" t="s">
        <v>114</v>
      </c>
      <c r="C26" s="11"/>
      <c r="D26" s="11"/>
      <c r="E26" s="1">
        <v>20</v>
      </c>
      <c r="F26" s="106">
        <v>20</v>
      </c>
      <c r="G26" s="6" t="s">
        <v>118</v>
      </c>
    </row>
    <row r="27" spans="1:7" x14ac:dyDescent="0.35">
      <c r="A27" s="18"/>
      <c r="B27" s="118" t="s">
        <v>115</v>
      </c>
      <c r="C27" s="146"/>
      <c r="D27" s="146"/>
      <c r="E27" s="119"/>
      <c r="F27" s="107"/>
    </row>
    <row r="28" spans="1:7" x14ac:dyDescent="0.35">
      <c r="A28" s="18">
        <v>22</v>
      </c>
      <c r="B28" s="14" t="s">
        <v>48</v>
      </c>
      <c r="C28" s="11">
        <v>0</v>
      </c>
      <c r="D28" s="11">
        <v>0</v>
      </c>
      <c r="E28" s="1">
        <v>0</v>
      </c>
      <c r="F28" s="106">
        <f>E28</f>
        <v>0</v>
      </c>
    </row>
    <row r="29" spans="1:7" x14ac:dyDescent="0.35">
      <c r="A29" s="18">
        <v>23</v>
      </c>
      <c r="B29" s="14" t="s">
        <v>49</v>
      </c>
      <c r="C29" s="11">
        <v>0</v>
      </c>
      <c r="D29" s="11">
        <v>0</v>
      </c>
      <c r="E29" s="1">
        <v>0</v>
      </c>
      <c r="F29" s="106">
        <f t="shared" ref="F29:F41" si="1">E29</f>
        <v>0</v>
      </c>
    </row>
    <row r="30" spans="1:7" ht="26" x14ac:dyDescent="0.35">
      <c r="A30" s="18">
        <v>24</v>
      </c>
      <c r="B30" s="14" t="s">
        <v>42</v>
      </c>
      <c r="C30" s="11">
        <v>0</v>
      </c>
      <c r="D30" s="11">
        <v>0</v>
      </c>
      <c r="E30" s="1">
        <v>0</v>
      </c>
      <c r="F30" s="106">
        <f t="shared" si="1"/>
        <v>0</v>
      </c>
    </row>
    <row r="31" spans="1:7" ht="39" x14ac:dyDescent="0.35">
      <c r="A31" s="18">
        <v>25</v>
      </c>
      <c r="B31" s="14" t="s">
        <v>50</v>
      </c>
      <c r="C31" s="11">
        <v>0</v>
      </c>
      <c r="D31" s="11">
        <v>0</v>
      </c>
      <c r="E31" s="1">
        <v>0</v>
      </c>
      <c r="F31" s="106">
        <f t="shared" si="1"/>
        <v>0</v>
      </c>
    </row>
    <row r="32" spans="1:7" ht="39" x14ac:dyDescent="0.35">
      <c r="A32" s="18">
        <v>26</v>
      </c>
      <c r="B32" s="14" t="s">
        <v>51</v>
      </c>
      <c r="C32" s="11">
        <v>0</v>
      </c>
      <c r="D32" s="11">
        <v>0</v>
      </c>
      <c r="E32" s="1">
        <v>0</v>
      </c>
      <c r="F32" s="106">
        <f t="shared" si="1"/>
        <v>0</v>
      </c>
    </row>
    <row r="33" spans="1:7" x14ac:dyDescent="0.35">
      <c r="A33" s="18">
        <v>27</v>
      </c>
      <c r="B33" s="14" t="s">
        <v>46</v>
      </c>
      <c r="C33" s="11">
        <v>0</v>
      </c>
      <c r="D33" s="11">
        <v>0</v>
      </c>
      <c r="E33" s="1">
        <v>0</v>
      </c>
      <c r="F33" s="106">
        <f t="shared" si="1"/>
        <v>0</v>
      </c>
      <c r="G33" s="15"/>
    </row>
    <row r="34" spans="1:7" x14ac:dyDescent="0.35">
      <c r="A34" s="18">
        <v>28</v>
      </c>
      <c r="B34" s="14" t="s">
        <v>47</v>
      </c>
      <c r="C34" s="11">
        <v>0</v>
      </c>
      <c r="D34" s="11">
        <v>0</v>
      </c>
      <c r="E34" s="1">
        <v>0</v>
      </c>
      <c r="F34" s="106">
        <f t="shared" si="1"/>
        <v>0</v>
      </c>
      <c r="G34" s="15"/>
    </row>
    <row r="35" spans="1:7" ht="26" x14ac:dyDescent="0.35">
      <c r="A35" s="18">
        <v>29</v>
      </c>
      <c r="B35" s="14" t="s">
        <v>22</v>
      </c>
      <c r="C35" s="11">
        <v>0</v>
      </c>
      <c r="D35" s="11">
        <v>0</v>
      </c>
      <c r="E35" s="1">
        <v>0</v>
      </c>
      <c r="F35" s="106">
        <f t="shared" si="1"/>
        <v>0</v>
      </c>
      <c r="G35" s="15"/>
    </row>
    <row r="36" spans="1:7" x14ac:dyDescent="0.35">
      <c r="A36" s="18">
        <v>30</v>
      </c>
      <c r="B36" s="14" t="s">
        <v>23</v>
      </c>
      <c r="C36" s="11">
        <v>0</v>
      </c>
      <c r="D36" s="11">
        <v>0</v>
      </c>
      <c r="E36" s="1">
        <v>0</v>
      </c>
      <c r="F36" s="106">
        <f t="shared" si="1"/>
        <v>0</v>
      </c>
      <c r="G36" s="15"/>
    </row>
    <row r="37" spans="1:7" x14ac:dyDescent="0.35">
      <c r="A37" s="18">
        <v>31</v>
      </c>
      <c r="B37" s="14" t="s">
        <v>24</v>
      </c>
      <c r="C37" s="11">
        <v>0</v>
      </c>
      <c r="D37" s="11">
        <v>0</v>
      </c>
      <c r="E37" s="1">
        <v>0</v>
      </c>
      <c r="F37" s="106">
        <f t="shared" si="1"/>
        <v>0</v>
      </c>
      <c r="G37" s="15"/>
    </row>
    <row r="38" spans="1:7" ht="26" x14ac:dyDescent="0.35">
      <c r="A38" s="18">
        <v>32</v>
      </c>
      <c r="B38" s="14" t="s">
        <v>116</v>
      </c>
      <c r="C38" s="11"/>
      <c r="D38" s="11"/>
      <c r="E38" s="11">
        <v>2</v>
      </c>
      <c r="F38" s="106">
        <f t="shared" si="1"/>
        <v>2</v>
      </c>
      <c r="G38" s="42" t="s">
        <v>119</v>
      </c>
    </row>
    <row r="39" spans="1:7" ht="26" x14ac:dyDescent="0.35">
      <c r="A39" s="18">
        <v>33</v>
      </c>
      <c r="B39" s="14" t="s">
        <v>25</v>
      </c>
      <c r="C39" s="11">
        <v>0</v>
      </c>
      <c r="D39" s="11">
        <v>0</v>
      </c>
      <c r="E39" s="1">
        <v>0</v>
      </c>
      <c r="F39" s="106">
        <f t="shared" si="1"/>
        <v>0</v>
      </c>
      <c r="G39" s="15"/>
    </row>
    <row r="40" spans="1:7" x14ac:dyDescent="0.35">
      <c r="A40" s="18">
        <v>34</v>
      </c>
      <c r="B40" s="14" t="s">
        <v>39</v>
      </c>
      <c r="C40" s="11">
        <v>0</v>
      </c>
      <c r="D40" s="11">
        <v>1</v>
      </c>
      <c r="E40" s="1">
        <v>1</v>
      </c>
      <c r="F40" s="106">
        <f t="shared" si="1"/>
        <v>1</v>
      </c>
      <c r="G40" s="15"/>
    </row>
    <row r="41" spans="1:7" x14ac:dyDescent="0.35">
      <c r="A41" s="18">
        <v>35</v>
      </c>
      <c r="B41" s="14" t="s">
        <v>26</v>
      </c>
      <c r="C41" s="11">
        <v>0</v>
      </c>
      <c r="D41" s="11">
        <v>0</v>
      </c>
      <c r="E41" s="1">
        <v>0</v>
      </c>
      <c r="F41" s="106">
        <f t="shared" si="1"/>
        <v>0</v>
      </c>
      <c r="G41" s="15"/>
    </row>
    <row r="42" spans="1:7" x14ac:dyDescent="0.35">
      <c r="A42" s="18">
        <v>36</v>
      </c>
      <c r="B42" s="14" t="s">
        <v>43</v>
      </c>
      <c r="C42" s="11">
        <v>0</v>
      </c>
      <c r="D42" s="11">
        <v>0</v>
      </c>
      <c r="E42" s="1">
        <v>0</v>
      </c>
      <c r="F42" s="106">
        <v>0</v>
      </c>
      <c r="G42" s="15"/>
    </row>
    <row r="43" spans="1:7" x14ac:dyDescent="0.35">
      <c r="A43" s="18"/>
      <c r="B43" s="118" t="s">
        <v>27</v>
      </c>
      <c r="C43" s="146"/>
      <c r="D43" s="146"/>
      <c r="E43" s="119"/>
      <c r="F43" s="107"/>
      <c r="G43" s="15"/>
    </row>
    <row r="44" spans="1:7" x14ac:dyDescent="0.35">
      <c r="A44" s="18">
        <v>37</v>
      </c>
      <c r="B44" s="14" t="s">
        <v>28</v>
      </c>
      <c r="C44" s="148">
        <v>5</v>
      </c>
      <c r="D44" s="148"/>
      <c r="E44" s="148"/>
      <c r="F44" s="106">
        <v>5</v>
      </c>
      <c r="G44" s="15"/>
    </row>
    <row r="45" spans="1:7" ht="26" x14ac:dyDescent="0.35">
      <c r="A45" s="18">
        <v>38</v>
      </c>
      <c r="B45" s="14" t="s">
        <v>52</v>
      </c>
      <c r="C45" s="147">
        <v>1</v>
      </c>
      <c r="D45" s="147"/>
      <c r="E45" s="147"/>
      <c r="F45" s="106">
        <v>1</v>
      </c>
      <c r="G45" s="43" t="s">
        <v>120</v>
      </c>
    </row>
    <row r="46" spans="1:7" ht="26" x14ac:dyDescent="0.35">
      <c r="A46" s="18">
        <v>39</v>
      </c>
      <c r="B46" s="14" t="s">
        <v>40</v>
      </c>
      <c r="C46" s="148">
        <v>5</v>
      </c>
      <c r="D46" s="148"/>
      <c r="E46" s="148"/>
      <c r="F46" s="106">
        <v>5</v>
      </c>
      <c r="G46" s="15"/>
    </row>
    <row r="47" spans="1:7" ht="26" x14ac:dyDescent="0.35">
      <c r="A47" s="18">
        <v>40</v>
      </c>
      <c r="B47" s="14" t="s">
        <v>41</v>
      </c>
      <c r="C47" s="1">
        <v>58</v>
      </c>
      <c r="D47" s="39">
        <v>73</v>
      </c>
      <c r="E47" s="39">
        <v>131</v>
      </c>
      <c r="F47" s="109">
        <v>131</v>
      </c>
      <c r="G47" s="15"/>
    </row>
    <row r="48" spans="1:7" x14ac:dyDescent="0.35">
      <c r="A48" s="18">
        <v>41</v>
      </c>
      <c r="B48" s="14" t="s">
        <v>33</v>
      </c>
      <c r="C48" s="148">
        <v>0</v>
      </c>
      <c r="D48" s="148"/>
      <c r="E48" s="148"/>
      <c r="F48" s="106">
        <v>0</v>
      </c>
      <c r="G48" s="15"/>
    </row>
    <row r="49" spans="1:6" x14ac:dyDescent="0.35">
      <c r="A49" s="18">
        <v>42</v>
      </c>
      <c r="B49" s="14" t="s">
        <v>53</v>
      </c>
      <c r="C49" s="148">
        <v>0</v>
      </c>
      <c r="D49" s="148"/>
      <c r="E49" s="148"/>
      <c r="F49" s="106">
        <v>0</v>
      </c>
    </row>
    <row r="50" spans="1:6" x14ac:dyDescent="0.35">
      <c r="A50" s="18">
        <v>43</v>
      </c>
      <c r="B50" s="14" t="s">
        <v>34</v>
      </c>
      <c r="C50" s="148">
        <v>3</v>
      </c>
      <c r="D50" s="148"/>
      <c r="E50" s="148"/>
      <c r="F50" s="106">
        <v>3</v>
      </c>
    </row>
    <row r="51" spans="1:6" ht="26" x14ac:dyDescent="0.35">
      <c r="A51" s="18">
        <v>44</v>
      </c>
      <c r="B51" s="14" t="s">
        <v>55</v>
      </c>
      <c r="C51" s="148">
        <v>3</v>
      </c>
      <c r="D51" s="148"/>
      <c r="E51" s="148"/>
      <c r="F51" s="106">
        <v>3</v>
      </c>
    </row>
    <row r="52" spans="1:6" ht="26" x14ac:dyDescent="0.35">
      <c r="A52" s="18">
        <v>45</v>
      </c>
      <c r="B52" s="14" t="s">
        <v>54</v>
      </c>
      <c r="C52" s="148">
        <v>43</v>
      </c>
      <c r="D52" s="148"/>
      <c r="E52" s="148"/>
      <c r="F52" s="106">
        <v>43</v>
      </c>
    </row>
    <row r="53" spans="1:6" x14ac:dyDescent="0.35">
      <c r="A53" s="18"/>
      <c r="B53" s="118" t="s">
        <v>29</v>
      </c>
      <c r="C53" s="146"/>
      <c r="D53" s="146"/>
      <c r="E53" s="119"/>
      <c r="F53" s="107"/>
    </row>
    <row r="54" spans="1:6" ht="26" x14ac:dyDescent="0.35">
      <c r="A54" s="18">
        <v>46</v>
      </c>
      <c r="B54" s="14" t="s">
        <v>30</v>
      </c>
      <c r="C54" s="1">
        <v>166</v>
      </c>
      <c r="D54" s="39">
        <v>252</v>
      </c>
      <c r="E54" s="39">
        <v>418</v>
      </c>
      <c r="F54" s="109">
        <v>418</v>
      </c>
    </row>
    <row r="55" spans="1:6" x14ac:dyDescent="0.35">
      <c r="A55" s="30"/>
      <c r="B55" s="118" t="s">
        <v>117</v>
      </c>
      <c r="C55" s="146"/>
      <c r="D55" s="146"/>
      <c r="E55" s="119"/>
      <c r="F55" s="107"/>
    </row>
    <row r="56" spans="1:6" x14ac:dyDescent="0.35">
      <c r="A56" s="18">
        <v>47</v>
      </c>
      <c r="B56" s="14" t="s">
        <v>35</v>
      </c>
      <c r="C56" s="149">
        <v>0</v>
      </c>
      <c r="D56" s="149"/>
      <c r="E56" s="149"/>
      <c r="F56" s="109">
        <v>0</v>
      </c>
    </row>
    <row r="57" spans="1:6" x14ac:dyDescent="0.35">
      <c r="A57" s="40">
        <v>48</v>
      </c>
      <c r="B57" s="14" t="s">
        <v>36</v>
      </c>
      <c r="C57" s="150">
        <v>0</v>
      </c>
      <c r="D57" s="151"/>
      <c r="E57" s="152"/>
      <c r="F57" s="109">
        <v>0</v>
      </c>
    </row>
  </sheetData>
  <mergeCells count="28">
    <mergeCell ref="B53:E53"/>
    <mergeCell ref="B55:E55"/>
    <mergeCell ref="C56:E56"/>
    <mergeCell ref="C57:E57"/>
    <mergeCell ref="C46:E46"/>
    <mergeCell ref="C48:E48"/>
    <mergeCell ref="C49:E49"/>
    <mergeCell ref="C50:E50"/>
    <mergeCell ref="C51:E51"/>
    <mergeCell ref="C52:E52"/>
    <mergeCell ref="C45:E45"/>
    <mergeCell ref="C17:E17"/>
    <mergeCell ref="C18:E18"/>
    <mergeCell ref="C19:E19"/>
    <mergeCell ref="C20:E20"/>
    <mergeCell ref="C21:E21"/>
    <mergeCell ref="C22:E22"/>
    <mergeCell ref="C23:E23"/>
    <mergeCell ref="C24:E24"/>
    <mergeCell ref="B27:E27"/>
    <mergeCell ref="B43:E43"/>
    <mergeCell ref="C44:E44"/>
    <mergeCell ref="C16:E16"/>
    <mergeCell ref="A1:E2"/>
    <mergeCell ref="C3:E3"/>
    <mergeCell ref="B12:E12"/>
    <mergeCell ref="C13:E13"/>
    <mergeCell ref="C15:E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6B0E-9506-4C7A-AAB6-466F6D0FD5F4}">
  <dimension ref="A1:F69"/>
  <sheetViews>
    <sheetView topLeftCell="A57" workbookViewId="0">
      <selection activeCell="C65" sqref="C65"/>
    </sheetView>
  </sheetViews>
  <sheetFormatPr defaultRowHeight="14.5" x14ac:dyDescent="0.35"/>
  <cols>
    <col min="2" max="2" width="46.81640625" customWidth="1"/>
    <col min="6" max="6" width="12.54296875" customWidth="1"/>
  </cols>
  <sheetData>
    <row r="1" spans="1:6" x14ac:dyDescent="0.35">
      <c r="A1" s="165" t="s">
        <v>177</v>
      </c>
      <c r="B1" s="165"/>
      <c r="C1" s="166"/>
      <c r="D1" s="166"/>
      <c r="E1" s="166"/>
      <c r="F1" s="167"/>
    </row>
    <row r="2" spans="1:6" x14ac:dyDescent="0.35">
      <c r="A2" s="168" t="s">
        <v>80</v>
      </c>
      <c r="B2" s="168"/>
      <c r="C2" s="169" t="s">
        <v>178</v>
      </c>
      <c r="D2" s="169"/>
      <c r="E2" s="169"/>
      <c r="F2" s="170"/>
    </row>
    <row r="3" spans="1:6" x14ac:dyDescent="0.35">
      <c r="A3" s="171" t="s">
        <v>0</v>
      </c>
      <c r="B3" s="80" t="s">
        <v>1</v>
      </c>
      <c r="C3" s="172" t="s">
        <v>179</v>
      </c>
      <c r="D3" s="172" t="s">
        <v>180</v>
      </c>
      <c r="E3" s="173" t="s">
        <v>137</v>
      </c>
      <c r="F3" s="174" t="s">
        <v>140</v>
      </c>
    </row>
    <row r="4" spans="1:6" x14ac:dyDescent="0.35">
      <c r="A4" s="175"/>
      <c r="B4" s="176" t="s">
        <v>2</v>
      </c>
      <c r="C4" s="177"/>
      <c r="D4" s="177"/>
      <c r="E4" s="178"/>
      <c r="F4" s="179"/>
    </row>
    <row r="5" spans="1:6" x14ac:dyDescent="0.35">
      <c r="A5" s="18">
        <v>1</v>
      </c>
      <c r="B5" s="14" t="s">
        <v>181</v>
      </c>
      <c r="C5" s="11"/>
      <c r="D5" s="11"/>
      <c r="E5" s="11">
        <v>0</v>
      </c>
      <c r="F5" s="180"/>
    </row>
    <row r="6" spans="1:6" x14ac:dyDescent="0.35">
      <c r="A6" s="18">
        <v>2</v>
      </c>
      <c r="B6" s="14" t="s">
        <v>45</v>
      </c>
      <c r="C6" s="11"/>
      <c r="D6" s="11"/>
      <c r="E6" s="11">
        <v>0</v>
      </c>
      <c r="F6" s="180"/>
    </row>
    <row r="7" spans="1:6" x14ac:dyDescent="0.35">
      <c r="A7" s="18">
        <v>3</v>
      </c>
      <c r="B7" s="14" t="s">
        <v>3</v>
      </c>
      <c r="C7" s="11"/>
      <c r="D7" s="11"/>
      <c r="E7" s="1">
        <v>0</v>
      </c>
      <c r="F7" s="180"/>
    </row>
    <row r="8" spans="1:6" ht="26" x14ac:dyDescent="0.35">
      <c r="A8" s="18">
        <v>4</v>
      </c>
      <c r="B8" s="14" t="s">
        <v>4</v>
      </c>
      <c r="C8" s="11"/>
      <c r="D8" s="11"/>
      <c r="E8" s="1">
        <v>0</v>
      </c>
      <c r="F8" s="180"/>
    </row>
    <row r="9" spans="1:6" ht="26" x14ac:dyDescent="0.35">
      <c r="A9" s="18">
        <v>5</v>
      </c>
      <c r="B9" s="14" t="s">
        <v>5</v>
      </c>
      <c r="C9" s="11"/>
      <c r="D9" s="11"/>
      <c r="E9" s="1">
        <v>0</v>
      </c>
      <c r="F9" s="180"/>
    </row>
    <row r="10" spans="1:6" x14ac:dyDescent="0.35">
      <c r="A10" s="18">
        <v>6</v>
      </c>
      <c r="B10" s="14" t="s">
        <v>6</v>
      </c>
      <c r="C10" s="11"/>
      <c r="D10" s="11"/>
      <c r="E10" s="11">
        <v>0</v>
      </c>
      <c r="F10" s="180"/>
    </row>
    <row r="11" spans="1:6" ht="26" x14ac:dyDescent="0.35">
      <c r="A11" s="18">
        <v>7</v>
      </c>
      <c r="B11" s="14" t="s">
        <v>32</v>
      </c>
      <c r="C11" s="11"/>
      <c r="D11" s="11"/>
      <c r="E11" s="1">
        <v>0</v>
      </c>
      <c r="F11" s="180"/>
    </row>
    <row r="12" spans="1:6" x14ac:dyDescent="0.35">
      <c r="A12" s="181"/>
      <c r="B12" s="182" t="s">
        <v>7</v>
      </c>
      <c r="C12" s="183"/>
      <c r="D12" s="183"/>
      <c r="E12" s="184"/>
      <c r="F12" s="185"/>
    </row>
    <row r="13" spans="1:6" ht="26" x14ac:dyDescent="0.35">
      <c r="A13" s="18">
        <v>8</v>
      </c>
      <c r="B13" s="14" t="s">
        <v>8</v>
      </c>
      <c r="C13" s="11"/>
      <c r="D13" s="11"/>
      <c r="E13" s="11">
        <v>0</v>
      </c>
      <c r="F13" s="180"/>
    </row>
    <row r="14" spans="1:6" x14ac:dyDescent="0.35">
      <c r="A14" s="18">
        <v>9</v>
      </c>
      <c r="B14" s="14" t="s">
        <v>9</v>
      </c>
      <c r="C14" s="11"/>
      <c r="D14" s="11"/>
      <c r="E14" s="1">
        <v>0</v>
      </c>
      <c r="F14" s="180"/>
    </row>
    <row r="15" spans="1:6" ht="26" x14ac:dyDescent="0.35">
      <c r="A15" s="18">
        <v>10</v>
      </c>
      <c r="B15" s="14" t="s">
        <v>10</v>
      </c>
      <c r="C15" s="11"/>
      <c r="D15" s="11"/>
      <c r="E15" s="11">
        <v>0</v>
      </c>
      <c r="F15" s="180"/>
    </row>
    <row r="16" spans="1:6" x14ac:dyDescent="0.35">
      <c r="A16" s="18">
        <v>11</v>
      </c>
      <c r="B16" s="14" t="s">
        <v>11</v>
      </c>
      <c r="C16" s="11"/>
      <c r="D16" s="11"/>
      <c r="E16" s="1">
        <v>0</v>
      </c>
      <c r="F16" s="180"/>
    </row>
    <row r="17" spans="1:6" ht="26" x14ac:dyDescent="0.35">
      <c r="A17" s="18">
        <v>12</v>
      </c>
      <c r="B17" s="14" t="s">
        <v>12</v>
      </c>
      <c r="C17" s="11"/>
      <c r="D17" s="11"/>
      <c r="E17" s="1">
        <v>0</v>
      </c>
      <c r="F17" s="180"/>
    </row>
    <row r="18" spans="1:6" ht="26" x14ac:dyDescent="0.35">
      <c r="A18" s="18">
        <v>13</v>
      </c>
      <c r="B18" s="14" t="s">
        <v>13</v>
      </c>
      <c r="C18" s="11"/>
      <c r="D18" s="11"/>
      <c r="E18" s="1">
        <v>0</v>
      </c>
      <c r="F18" s="180"/>
    </row>
    <row r="19" spans="1:6" x14ac:dyDescent="0.35">
      <c r="A19" s="18">
        <v>14</v>
      </c>
      <c r="B19" s="14" t="s">
        <v>14</v>
      </c>
      <c r="C19" s="11"/>
      <c r="D19" s="11"/>
      <c r="E19" s="1">
        <v>0</v>
      </c>
      <c r="F19" s="180"/>
    </row>
    <row r="20" spans="1:6" x14ac:dyDescent="0.35">
      <c r="A20" s="18">
        <v>15</v>
      </c>
      <c r="B20" s="14" t="s">
        <v>15</v>
      </c>
      <c r="C20" s="11"/>
      <c r="D20" s="11"/>
      <c r="E20" s="1">
        <v>0</v>
      </c>
      <c r="F20" s="180"/>
    </row>
    <row r="21" spans="1:6" x14ac:dyDescent="0.35">
      <c r="A21" s="18">
        <v>16</v>
      </c>
      <c r="B21" s="14" t="s">
        <v>16</v>
      </c>
      <c r="C21" s="11"/>
      <c r="D21" s="11"/>
      <c r="E21" s="1">
        <v>0</v>
      </c>
      <c r="F21" s="180"/>
    </row>
    <row r="22" spans="1:6" x14ac:dyDescent="0.35">
      <c r="A22" s="18">
        <v>17</v>
      </c>
      <c r="B22" s="14" t="s">
        <v>17</v>
      </c>
      <c r="C22" s="11"/>
      <c r="D22" s="11"/>
      <c r="E22" s="11">
        <v>0</v>
      </c>
      <c r="F22" s="180"/>
    </row>
    <row r="23" spans="1:6" x14ac:dyDescent="0.35">
      <c r="A23" s="18">
        <v>18</v>
      </c>
      <c r="B23" s="14" t="s">
        <v>18</v>
      </c>
      <c r="C23" s="11"/>
      <c r="D23" s="11"/>
      <c r="E23" s="11">
        <v>0</v>
      </c>
      <c r="F23" s="180"/>
    </row>
    <row r="24" spans="1:6" x14ac:dyDescent="0.35">
      <c r="A24" s="18">
        <v>19</v>
      </c>
      <c r="B24" s="14" t="s">
        <v>19</v>
      </c>
      <c r="C24" s="11"/>
      <c r="D24" s="11"/>
      <c r="E24" s="1">
        <v>0</v>
      </c>
      <c r="F24" s="180"/>
    </row>
    <row r="25" spans="1:6" x14ac:dyDescent="0.35">
      <c r="A25" s="18">
        <v>20</v>
      </c>
      <c r="B25" s="14" t="s">
        <v>20</v>
      </c>
      <c r="C25" s="11"/>
      <c r="D25" s="11"/>
      <c r="E25" s="1">
        <v>0</v>
      </c>
      <c r="F25" s="180"/>
    </row>
    <row r="26" spans="1:6" x14ac:dyDescent="0.35">
      <c r="A26" s="1">
        <v>21</v>
      </c>
      <c r="B26" s="2" t="s">
        <v>38</v>
      </c>
      <c r="C26" s="11"/>
      <c r="D26" s="11"/>
      <c r="E26" s="11">
        <v>0</v>
      </c>
      <c r="F26" s="180"/>
    </row>
    <row r="27" spans="1:6" x14ac:dyDescent="0.35">
      <c r="A27" s="18">
        <v>22</v>
      </c>
      <c r="B27" s="14" t="s">
        <v>182</v>
      </c>
      <c r="C27" s="11"/>
      <c r="D27" s="11"/>
      <c r="E27" s="11">
        <v>0</v>
      </c>
      <c r="F27" s="180"/>
    </row>
    <row r="28" spans="1:6" x14ac:dyDescent="0.35">
      <c r="A28" s="181"/>
      <c r="B28" s="182" t="s">
        <v>21</v>
      </c>
      <c r="C28" s="183"/>
      <c r="D28" s="183"/>
      <c r="E28" s="184"/>
      <c r="F28" s="185"/>
    </row>
    <row r="29" spans="1:6" x14ac:dyDescent="0.35">
      <c r="A29" s="18">
        <v>23</v>
      </c>
      <c r="B29" s="14" t="s">
        <v>183</v>
      </c>
      <c r="C29" s="102"/>
      <c r="D29" s="102"/>
      <c r="E29" s="102">
        <v>0</v>
      </c>
      <c r="F29" s="186"/>
    </row>
    <row r="30" spans="1:6" x14ac:dyDescent="0.35">
      <c r="A30" s="18">
        <v>24</v>
      </c>
      <c r="B30" s="14" t="s">
        <v>184</v>
      </c>
      <c r="C30" s="102"/>
      <c r="D30" s="102"/>
      <c r="E30" s="102">
        <v>0</v>
      </c>
      <c r="F30" s="180"/>
    </row>
    <row r="31" spans="1:6" ht="26" x14ac:dyDescent="0.35">
      <c r="A31" s="18">
        <v>25</v>
      </c>
      <c r="B31" s="14" t="s">
        <v>42</v>
      </c>
      <c r="C31" s="102"/>
      <c r="D31" s="102"/>
      <c r="E31" s="102">
        <v>0</v>
      </c>
      <c r="F31" s="186"/>
    </row>
    <row r="32" spans="1:6" ht="26" x14ac:dyDescent="0.35">
      <c r="A32" s="18">
        <v>26</v>
      </c>
      <c r="B32" s="14" t="s">
        <v>50</v>
      </c>
      <c r="C32" s="102"/>
      <c r="D32" s="102"/>
      <c r="E32" s="102">
        <v>0</v>
      </c>
      <c r="F32" s="186"/>
    </row>
    <row r="33" spans="1:6" ht="26" x14ac:dyDescent="0.35">
      <c r="A33" s="18">
        <v>27</v>
      </c>
      <c r="B33" s="14" t="s">
        <v>51</v>
      </c>
      <c r="C33" s="102"/>
      <c r="D33" s="102"/>
      <c r="E33" s="102">
        <v>0</v>
      </c>
      <c r="F33" s="186"/>
    </row>
    <row r="34" spans="1:6" x14ac:dyDescent="0.35">
      <c r="A34" s="18">
        <v>28</v>
      </c>
      <c r="B34" s="14" t="s">
        <v>46</v>
      </c>
      <c r="C34" s="102"/>
      <c r="D34" s="102"/>
      <c r="E34" s="102">
        <v>0</v>
      </c>
      <c r="F34" s="180"/>
    </row>
    <row r="35" spans="1:6" x14ac:dyDescent="0.35">
      <c r="A35" s="18">
        <v>29</v>
      </c>
      <c r="B35" s="14" t="s">
        <v>47</v>
      </c>
      <c r="C35" s="102"/>
      <c r="D35" s="102"/>
      <c r="E35" s="102">
        <v>0</v>
      </c>
      <c r="F35" s="180"/>
    </row>
    <row r="36" spans="1:6" x14ac:dyDescent="0.35">
      <c r="A36" s="18">
        <v>30</v>
      </c>
      <c r="B36" s="14" t="s">
        <v>22</v>
      </c>
      <c r="C36" s="102"/>
      <c r="D36" s="102"/>
      <c r="E36" s="102">
        <v>0</v>
      </c>
      <c r="F36" s="180"/>
    </row>
    <row r="37" spans="1:6" x14ac:dyDescent="0.35">
      <c r="A37" s="18">
        <v>31</v>
      </c>
      <c r="B37" s="14" t="s">
        <v>23</v>
      </c>
      <c r="C37" s="102"/>
      <c r="D37" s="102"/>
      <c r="E37" s="102">
        <v>0</v>
      </c>
      <c r="F37" s="180"/>
    </row>
    <row r="38" spans="1:6" x14ac:dyDescent="0.35">
      <c r="A38" s="18">
        <v>32</v>
      </c>
      <c r="B38" s="14" t="s">
        <v>24</v>
      </c>
      <c r="C38" s="102"/>
      <c r="D38" s="102"/>
      <c r="E38" s="102">
        <v>0</v>
      </c>
      <c r="F38" s="180"/>
    </row>
    <row r="39" spans="1:6" ht="26" x14ac:dyDescent="0.35">
      <c r="A39" s="18">
        <v>33</v>
      </c>
      <c r="B39" s="14" t="s">
        <v>37</v>
      </c>
      <c r="C39" s="102"/>
      <c r="D39" s="102"/>
      <c r="E39" s="102">
        <v>0</v>
      </c>
      <c r="F39" s="180"/>
    </row>
    <row r="40" spans="1:6" ht="26" x14ac:dyDescent="0.35">
      <c r="A40" s="18">
        <v>34</v>
      </c>
      <c r="B40" s="14" t="s">
        <v>25</v>
      </c>
      <c r="C40" s="102"/>
      <c r="D40" s="102"/>
      <c r="E40" s="102">
        <v>0</v>
      </c>
      <c r="F40" s="180"/>
    </row>
    <row r="41" spans="1:6" x14ac:dyDescent="0.35">
      <c r="A41" s="18">
        <v>35</v>
      </c>
      <c r="B41" s="14" t="s">
        <v>185</v>
      </c>
      <c r="C41" s="102"/>
      <c r="D41" s="102"/>
      <c r="E41" s="102">
        <v>0</v>
      </c>
      <c r="F41" s="180"/>
    </row>
    <row r="42" spans="1:6" x14ac:dyDescent="0.35">
      <c r="A42" s="18">
        <v>36</v>
      </c>
      <c r="B42" s="14" t="s">
        <v>39</v>
      </c>
      <c r="C42" s="102"/>
      <c r="D42" s="102"/>
      <c r="E42" s="102">
        <v>0</v>
      </c>
      <c r="F42" s="180"/>
    </row>
    <row r="43" spans="1:6" x14ac:dyDescent="0.35">
      <c r="A43" s="18">
        <v>37</v>
      </c>
      <c r="B43" s="14" t="s">
        <v>26</v>
      </c>
      <c r="C43" s="102"/>
      <c r="D43" s="102"/>
      <c r="E43" s="102">
        <v>0</v>
      </c>
      <c r="F43" s="186"/>
    </row>
    <row r="44" spans="1:6" x14ac:dyDescent="0.35">
      <c r="A44" s="18">
        <v>38</v>
      </c>
      <c r="B44" s="14" t="s">
        <v>43</v>
      </c>
      <c r="C44" s="102"/>
      <c r="D44" s="102"/>
      <c r="E44" s="102">
        <v>0</v>
      </c>
      <c r="F44" s="186"/>
    </row>
    <row r="45" spans="1:6" x14ac:dyDescent="0.35">
      <c r="A45" s="181"/>
      <c r="B45" s="182" t="s">
        <v>27</v>
      </c>
      <c r="C45" s="187"/>
      <c r="D45" s="187"/>
      <c r="E45" s="187"/>
      <c r="F45" s="185"/>
    </row>
    <row r="46" spans="1:6" x14ac:dyDescent="0.35">
      <c r="A46" s="18">
        <v>39</v>
      </c>
      <c r="B46" s="14" t="s">
        <v>28</v>
      </c>
      <c r="C46" s="102">
        <v>0</v>
      </c>
      <c r="D46" s="102">
        <v>0</v>
      </c>
      <c r="E46" s="102">
        <v>0</v>
      </c>
      <c r="F46" s="180"/>
    </row>
    <row r="47" spans="1:6" ht="26" x14ac:dyDescent="0.35">
      <c r="A47" s="18">
        <v>40</v>
      </c>
      <c r="B47" s="14" t="s">
        <v>52</v>
      </c>
      <c r="C47" s="102">
        <v>0</v>
      </c>
      <c r="D47" s="102">
        <v>0</v>
      </c>
      <c r="E47" s="102">
        <v>0</v>
      </c>
      <c r="F47" s="180"/>
    </row>
    <row r="48" spans="1:6" ht="26" x14ac:dyDescent="0.35">
      <c r="A48" s="18">
        <v>41</v>
      </c>
      <c r="B48" s="14" t="s">
        <v>40</v>
      </c>
      <c r="C48" s="102">
        <v>0</v>
      </c>
      <c r="D48" s="102">
        <v>0</v>
      </c>
      <c r="E48" s="102">
        <v>0</v>
      </c>
      <c r="F48" s="180"/>
    </row>
    <row r="49" spans="1:6" x14ac:dyDescent="0.35">
      <c r="A49" s="18">
        <v>42</v>
      </c>
      <c r="B49" s="14" t="s">
        <v>41</v>
      </c>
      <c r="C49" s="102">
        <v>0</v>
      </c>
      <c r="D49" s="102">
        <v>0</v>
      </c>
      <c r="E49" s="102">
        <v>0</v>
      </c>
      <c r="F49" s="180"/>
    </row>
    <row r="50" spans="1:6" x14ac:dyDescent="0.35">
      <c r="A50" s="18">
        <v>43</v>
      </c>
      <c r="B50" s="14" t="s">
        <v>186</v>
      </c>
      <c r="C50" s="102">
        <v>0</v>
      </c>
      <c r="D50" s="102">
        <v>2</v>
      </c>
      <c r="E50" s="102">
        <v>2</v>
      </c>
      <c r="F50" s="180"/>
    </row>
    <row r="51" spans="1:6" x14ac:dyDescent="0.35">
      <c r="A51" s="18">
        <v>44</v>
      </c>
      <c r="B51" s="14" t="s">
        <v>53</v>
      </c>
      <c r="C51" s="102">
        <v>0</v>
      </c>
      <c r="D51" s="102">
        <v>4</v>
      </c>
      <c r="E51" s="102">
        <v>4</v>
      </c>
      <c r="F51" s="180"/>
    </row>
    <row r="52" spans="1:6" x14ac:dyDescent="0.35">
      <c r="A52" s="18">
        <v>45</v>
      </c>
      <c r="B52" s="14" t="s">
        <v>34</v>
      </c>
      <c r="C52" s="102">
        <v>0</v>
      </c>
      <c r="D52" s="102">
        <v>2</v>
      </c>
      <c r="E52" s="102">
        <v>2</v>
      </c>
      <c r="F52" s="11"/>
    </row>
    <row r="53" spans="1:6" ht="26" x14ac:dyDescent="0.35">
      <c r="A53" s="18">
        <v>46</v>
      </c>
      <c r="B53" s="14" t="s">
        <v>55</v>
      </c>
      <c r="C53" s="102">
        <v>0</v>
      </c>
      <c r="D53" s="102">
        <v>0</v>
      </c>
      <c r="E53" s="102">
        <v>0</v>
      </c>
      <c r="F53" s="180"/>
    </row>
    <row r="54" spans="1:6" ht="26" x14ac:dyDescent="0.35">
      <c r="A54" s="18">
        <v>47</v>
      </c>
      <c r="B54" s="14" t="s">
        <v>54</v>
      </c>
      <c r="C54" s="102">
        <v>0</v>
      </c>
      <c r="D54" s="102">
        <v>0</v>
      </c>
      <c r="E54" s="102">
        <v>0</v>
      </c>
      <c r="F54" s="186"/>
    </row>
    <row r="55" spans="1:6" x14ac:dyDescent="0.35">
      <c r="A55" s="181"/>
      <c r="B55" s="182" t="s">
        <v>29</v>
      </c>
      <c r="C55" s="187"/>
      <c r="D55" s="187"/>
      <c r="E55" s="187"/>
      <c r="F55" s="185"/>
    </row>
    <row r="56" spans="1:6" ht="26" x14ac:dyDescent="0.35">
      <c r="A56" s="18">
        <v>48</v>
      </c>
      <c r="B56" s="14" t="s">
        <v>30</v>
      </c>
      <c r="C56" s="102">
        <v>0</v>
      </c>
      <c r="D56" s="102">
        <v>0</v>
      </c>
      <c r="E56" s="102">
        <v>0</v>
      </c>
      <c r="F56" s="180"/>
    </row>
    <row r="57" spans="1:6" x14ac:dyDescent="0.35">
      <c r="A57" s="18"/>
      <c r="B57" s="29" t="s">
        <v>31</v>
      </c>
      <c r="C57" s="102"/>
      <c r="D57" s="102"/>
      <c r="E57" s="102"/>
      <c r="F57" s="180"/>
    </row>
    <row r="58" spans="1:6" x14ac:dyDescent="0.35">
      <c r="A58" s="18">
        <v>49</v>
      </c>
      <c r="B58" s="14" t="s">
        <v>35</v>
      </c>
      <c r="C58" s="102">
        <v>0</v>
      </c>
      <c r="D58" s="102">
        <v>0</v>
      </c>
      <c r="E58" s="102">
        <v>0</v>
      </c>
      <c r="F58" s="180"/>
    </row>
    <row r="59" spans="1:6" x14ac:dyDescent="0.35">
      <c r="A59" s="18">
        <v>50</v>
      </c>
      <c r="B59" s="14" t="s">
        <v>36</v>
      </c>
      <c r="C59" s="102">
        <v>0</v>
      </c>
      <c r="D59" s="102">
        <v>0</v>
      </c>
      <c r="E59" s="102">
        <v>0</v>
      </c>
      <c r="F59" s="180"/>
    </row>
    <row r="60" spans="1:6" x14ac:dyDescent="0.35">
      <c r="A60" s="181"/>
      <c r="B60" s="182" t="s">
        <v>187</v>
      </c>
      <c r="C60" s="187"/>
      <c r="D60" s="187"/>
      <c r="E60" s="187"/>
      <c r="F60" s="185"/>
    </row>
    <row r="61" spans="1:6" x14ac:dyDescent="0.35">
      <c r="A61" s="18">
        <v>51</v>
      </c>
      <c r="B61" s="14" t="s">
        <v>188</v>
      </c>
      <c r="C61" s="5">
        <v>0</v>
      </c>
      <c r="D61" s="5">
        <v>0</v>
      </c>
      <c r="E61" s="5">
        <f t="shared" ref="E61:E69" si="0">D61+C61</f>
        <v>0</v>
      </c>
      <c r="F61" s="5"/>
    </row>
    <row r="62" spans="1:6" x14ac:dyDescent="0.35">
      <c r="A62" s="18">
        <v>52</v>
      </c>
      <c r="B62" s="14" t="s">
        <v>189</v>
      </c>
      <c r="C62" s="5">
        <v>0</v>
      </c>
      <c r="D62" s="5">
        <v>0</v>
      </c>
      <c r="E62" s="5">
        <f t="shared" si="0"/>
        <v>0</v>
      </c>
      <c r="F62" s="5"/>
    </row>
    <row r="63" spans="1:6" x14ac:dyDescent="0.35">
      <c r="A63" s="18">
        <v>53</v>
      </c>
      <c r="B63" s="14" t="s">
        <v>190</v>
      </c>
      <c r="C63" s="5">
        <v>0</v>
      </c>
      <c r="D63" s="5">
        <v>0</v>
      </c>
      <c r="E63" s="5">
        <f t="shared" si="0"/>
        <v>0</v>
      </c>
      <c r="F63" s="5"/>
    </row>
    <row r="64" spans="1:6" x14ac:dyDescent="0.35">
      <c r="A64" s="18">
        <v>54</v>
      </c>
      <c r="B64" s="14" t="s">
        <v>191</v>
      </c>
      <c r="C64" s="5">
        <v>0</v>
      </c>
      <c r="D64" s="5">
        <v>0</v>
      </c>
      <c r="E64" s="5">
        <f t="shared" si="0"/>
        <v>0</v>
      </c>
      <c r="F64" s="5"/>
    </row>
    <row r="65" spans="1:6" ht="26" x14ac:dyDescent="0.35">
      <c r="A65" s="18">
        <v>55</v>
      </c>
      <c r="B65" s="14" t="s">
        <v>192</v>
      </c>
      <c r="C65" s="5">
        <v>56</v>
      </c>
      <c r="D65" s="5">
        <v>47</v>
      </c>
      <c r="E65" s="5">
        <f t="shared" si="0"/>
        <v>103</v>
      </c>
      <c r="F65" s="5"/>
    </row>
    <row r="66" spans="1:6" ht="26" x14ac:dyDescent="0.35">
      <c r="A66" s="18">
        <v>56</v>
      </c>
      <c r="B66" s="14" t="s">
        <v>193</v>
      </c>
      <c r="C66" s="5">
        <v>0</v>
      </c>
      <c r="D66" s="5">
        <v>9</v>
      </c>
      <c r="E66" s="5">
        <f t="shared" si="0"/>
        <v>9</v>
      </c>
      <c r="F66" s="5"/>
    </row>
    <row r="67" spans="1:6" x14ac:dyDescent="0.35">
      <c r="A67" s="18">
        <v>57</v>
      </c>
      <c r="B67" s="14" t="s">
        <v>194</v>
      </c>
      <c r="C67" s="5">
        <v>0</v>
      </c>
      <c r="D67" s="5">
        <v>5</v>
      </c>
      <c r="E67" s="5">
        <f t="shared" si="0"/>
        <v>5</v>
      </c>
      <c r="F67" s="5"/>
    </row>
    <row r="68" spans="1:6" ht="26" x14ac:dyDescent="0.35">
      <c r="A68" s="18">
        <v>58</v>
      </c>
      <c r="B68" s="14" t="s">
        <v>195</v>
      </c>
      <c r="C68" s="5">
        <v>0</v>
      </c>
      <c r="D68" s="5">
        <v>3</v>
      </c>
      <c r="E68" s="5">
        <f t="shared" si="0"/>
        <v>3</v>
      </c>
      <c r="F68" s="5"/>
    </row>
    <row r="69" spans="1:6" x14ac:dyDescent="0.35">
      <c r="A69" s="18">
        <v>59</v>
      </c>
      <c r="B69" s="14" t="s">
        <v>196</v>
      </c>
      <c r="C69" s="5">
        <v>0</v>
      </c>
      <c r="D69" s="5">
        <v>0</v>
      </c>
      <c r="E69" s="5">
        <f t="shared" si="0"/>
        <v>0</v>
      </c>
      <c r="F69" s="5"/>
    </row>
  </sheetData>
  <mergeCells count="3">
    <mergeCell ref="A1:B1"/>
    <mergeCell ref="C1:F1"/>
    <mergeCell ref="C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D663-971C-41C4-833A-5A68BF269DF1}">
  <dimension ref="A1:D57"/>
  <sheetViews>
    <sheetView topLeftCell="A52" workbookViewId="0">
      <selection activeCell="C54" sqref="C54"/>
    </sheetView>
  </sheetViews>
  <sheetFormatPr defaultRowHeight="14.5" x14ac:dyDescent="0.35"/>
  <cols>
    <col min="2" max="2" width="43.36328125" customWidth="1"/>
    <col min="3" max="3" width="21" customWidth="1"/>
    <col min="4" max="4" width="41.54296875" customWidth="1"/>
  </cols>
  <sheetData>
    <row r="1" spans="1:4" x14ac:dyDescent="0.35">
      <c r="A1" s="125" t="s">
        <v>168</v>
      </c>
      <c r="B1" s="125"/>
      <c r="C1" s="125"/>
      <c r="D1" s="10"/>
    </row>
    <row r="2" spans="1:4" x14ac:dyDescent="0.35">
      <c r="A2" s="125" t="s">
        <v>169</v>
      </c>
      <c r="B2" s="125"/>
      <c r="C2" s="125"/>
      <c r="D2" s="10"/>
    </row>
    <row r="3" spans="1:4" ht="26" x14ac:dyDescent="0.35">
      <c r="A3" s="8" t="s">
        <v>0</v>
      </c>
      <c r="B3" s="8" t="s">
        <v>1</v>
      </c>
      <c r="C3" s="13" t="s">
        <v>81</v>
      </c>
      <c r="D3" s="6"/>
    </row>
    <row r="4" spans="1:4" x14ac:dyDescent="0.35">
      <c r="A4" s="11"/>
      <c r="B4" s="9" t="s">
        <v>2</v>
      </c>
      <c r="C4" s="155" t="s">
        <v>83</v>
      </c>
      <c r="D4" s="6"/>
    </row>
    <row r="5" spans="1:4" x14ac:dyDescent="0.35">
      <c r="A5" s="11">
        <v>1</v>
      </c>
      <c r="B5" s="2" t="s">
        <v>44</v>
      </c>
      <c r="C5" s="156">
        <v>0</v>
      </c>
      <c r="D5" s="6"/>
    </row>
    <row r="6" spans="1:4" x14ac:dyDescent="0.35">
      <c r="A6" s="11">
        <v>2</v>
      </c>
      <c r="B6" s="2" t="s">
        <v>113</v>
      </c>
      <c r="C6" s="11">
        <v>0</v>
      </c>
      <c r="D6" s="6"/>
    </row>
    <row r="7" spans="1:4" x14ac:dyDescent="0.35">
      <c r="A7" s="11">
        <v>3</v>
      </c>
      <c r="B7" s="2" t="s">
        <v>3</v>
      </c>
      <c r="C7" s="11">
        <v>0</v>
      </c>
      <c r="D7" s="6"/>
    </row>
    <row r="8" spans="1:4" ht="43.5" x14ac:dyDescent="0.35">
      <c r="A8" s="11">
        <v>4</v>
      </c>
      <c r="B8" s="2" t="s">
        <v>4</v>
      </c>
      <c r="C8" s="11">
        <v>18</v>
      </c>
      <c r="D8" s="157" t="s">
        <v>170</v>
      </c>
    </row>
    <row r="9" spans="1:4" ht="26" x14ac:dyDescent="0.35">
      <c r="A9" s="11">
        <v>5</v>
      </c>
      <c r="B9" s="2" t="s">
        <v>5</v>
      </c>
      <c r="C9" s="11">
        <v>0</v>
      </c>
      <c r="D9" s="6"/>
    </row>
    <row r="10" spans="1:4" x14ac:dyDescent="0.35">
      <c r="A10" s="11">
        <v>6</v>
      </c>
      <c r="B10" s="2" t="s">
        <v>6</v>
      </c>
      <c r="C10" s="11">
        <v>0</v>
      </c>
      <c r="D10" s="6"/>
    </row>
    <row r="11" spans="1:4" ht="26" x14ac:dyDescent="0.35">
      <c r="A11" s="11">
        <v>7</v>
      </c>
      <c r="B11" s="2" t="s">
        <v>32</v>
      </c>
      <c r="C11" s="11">
        <v>0</v>
      </c>
      <c r="D11" s="6"/>
    </row>
    <row r="12" spans="1:4" x14ac:dyDescent="0.35">
      <c r="A12" s="11"/>
      <c r="B12" s="9" t="s">
        <v>7</v>
      </c>
      <c r="C12" s="11"/>
      <c r="D12" s="6"/>
    </row>
    <row r="13" spans="1:4" ht="26" x14ac:dyDescent="0.35">
      <c r="A13" s="11">
        <v>8</v>
      </c>
      <c r="B13" s="2" t="s">
        <v>8</v>
      </c>
      <c r="C13" s="11">
        <v>0</v>
      </c>
      <c r="D13" s="6"/>
    </row>
    <row r="14" spans="1:4" x14ac:dyDescent="0.35">
      <c r="A14" s="11">
        <v>9</v>
      </c>
      <c r="B14" s="2" t="s">
        <v>9</v>
      </c>
      <c r="C14" s="11">
        <v>0</v>
      </c>
      <c r="D14" s="6"/>
    </row>
    <row r="15" spans="1:4" ht="26" x14ac:dyDescent="0.35">
      <c r="A15" s="11">
        <v>10</v>
      </c>
      <c r="B15" s="2" t="s">
        <v>10</v>
      </c>
      <c r="C15" s="11">
        <v>0</v>
      </c>
      <c r="D15" s="6"/>
    </row>
    <row r="16" spans="1:4" x14ac:dyDescent="0.35">
      <c r="A16" s="11">
        <v>11</v>
      </c>
      <c r="B16" s="2" t="s">
        <v>11</v>
      </c>
      <c r="C16" s="11">
        <v>0</v>
      </c>
      <c r="D16" s="6"/>
    </row>
    <row r="17" spans="1:4" ht="26" x14ac:dyDescent="0.35">
      <c r="A17" s="11">
        <v>12</v>
      </c>
      <c r="B17" s="2" t="s">
        <v>12</v>
      </c>
      <c r="C17" s="11">
        <v>0</v>
      </c>
      <c r="D17" s="6"/>
    </row>
    <row r="18" spans="1:4" ht="26" x14ac:dyDescent="0.35">
      <c r="A18" s="11">
        <v>13</v>
      </c>
      <c r="B18" s="2" t="s">
        <v>13</v>
      </c>
      <c r="C18" s="11">
        <v>0</v>
      </c>
      <c r="D18" s="6"/>
    </row>
    <row r="19" spans="1:4" x14ac:dyDescent="0.35">
      <c r="A19" s="11">
        <v>14</v>
      </c>
      <c r="B19" s="2" t="s">
        <v>14</v>
      </c>
      <c r="C19" s="11">
        <v>0</v>
      </c>
      <c r="D19" s="6"/>
    </row>
    <row r="20" spans="1:4" ht="26" x14ac:dyDescent="0.35">
      <c r="A20" s="11">
        <v>15</v>
      </c>
      <c r="B20" s="2" t="s">
        <v>15</v>
      </c>
      <c r="C20" s="11">
        <v>0</v>
      </c>
      <c r="D20" s="6"/>
    </row>
    <row r="21" spans="1:4" x14ac:dyDescent="0.35">
      <c r="A21" s="11">
        <v>16</v>
      </c>
      <c r="B21" s="2" t="s">
        <v>16</v>
      </c>
      <c r="C21" s="11">
        <v>0</v>
      </c>
      <c r="D21" s="6"/>
    </row>
    <row r="22" spans="1:4" x14ac:dyDescent="0.35">
      <c r="A22" s="11">
        <v>17</v>
      </c>
      <c r="B22" s="2" t="s">
        <v>17</v>
      </c>
      <c r="C22" s="11">
        <v>0</v>
      </c>
      <c r="D22" s="6"/>
    </row>
    <row r="23" spans="1:4" x14ac:dyDescent="0.35">
      <c r="A23" s="11">
        <v>18</v>
      </c>
      <c r="B23" s="2" t="s">
        <v>18</v>
      </c>
      <c r="C23" s="11">
        <v>0</v>
      </c>
      <c r="D23" s="6"/>
    </row>
    <row r="24" spans="1:4" x14ac:dyDescent="0.35">
      <c r="A24" s="11">
        <v>19</v>
      </c>
      <c r="B24" s="2" t="s">
        <v>19</v>
      </c>
      <c r="C24" s="11">
        <v>0</v>
      </c>
      <c r="D24" s="6"/>
    </row>
    <row r="25" spans="1:4" ht="26" x14ac:dyDescent="0.35">
      <c r="A25" s="11">
        <v>20</v>
      </c>
      <c r="B25" s="2" t="s">
        <v>20</v>
      </c>
      <c r="C25" s="156">
        <v>0</v>
      </c>
      <c r="D25" s="6"/>
    </row>
    <row r="26" spans="1:4" ht="29" x14ac:dyDescent="0.35">
      <c r="A26" s="11">
        <v>21</v>
      </c>
      <c r="B26" s="2" t="s">
        <v>38</v>
      </c>
      <c r="C26" s="11">
        <v>0</v>
      </c>
      <c r="D26" s="158" t="s">
        <v>171</v>
      </c>
    </row>
    <row r="27" spans="1:4" x14ac:dyDescent="0.35">
      <c r="A27" s="11"/>
      <c r="B27" s="9" t="s">
        <v>21</v>
      </c>
      <c r="C27" s="11"/>
      <c r="D27" s="6"/>
    </row>
    <row r="28" spans="1:4" x14ac:dyDescent="0.35">
      <c r="A28" s="11">
        <v>22</v>
      </c>
      <c r="B28" s="2" t="s">
        <v>48</v>
      </c>
      <c r="C28" s="159">
        <v>1</v>
      </c>
      <c r="D28" s="157" t="s">
        <v>172</v>
      </c>
    </row>
    <row r="29" spans="1:4" x14ac:dyDescent="0.35">
      <c r="A29" s="11">
        <v>23</v>
      </c>
      <c r="B29" s="2" t="s">
        <v>49</v>
      </c>
      <c r="C29" s="11">
        <v>4</v>
      </c>
      <c r="D29" s="157" t="s">
        <v>173</v>
      </c>
    </row>
    <row r="30" spans="1:4" ht="26" x14ac:dyDescent="0.35">
      <c r="A30" s="11">
        <v>24</v>
      </c>
      <c r="B30" s="2" t="s">
        <v>42</v>
      </c>
      <c r="C30" s="11">
        <v>0</v>
      </c>
      <c r="D30" s="160"/>
    </row>
    <row r="31" spans="1:4" ht="39" x14ac:dyDescent="0.35">
      <c r="A31" s="11">
        <v>25</v>
      </c>
      <c r="B31" s="2" t="s">
        <v>50</v>
      </c>
      <c r="C31" s="156">
        <v>0</v>
      </c>
      <c r="D31" s="6"/>
    </row>
    <row r="32" spans="1:4" ht="39" x14ac:dyDescent="0.35">
      <c r="A32" s="11">
        <v>26</v>
      </c>
      <c r="B32" s="2" t="s">
        <v>51</v>
      </c>
      <c r="C32" s="11">
        <v>0</v>
      </c>
      <c r="D32" s="160"/>
    </row>
    <row r="33" spans="1:4" x14ac:dyDescent="0.35">
      <c r="A33" s="11">
        <v>27</v>
      </c>
      <c r="B33" s="161" t="s">
        <v>46</v>
      </c>
      <c r="C33" s="11">
        <v>0</v>
      </c>
      <c r="D33" s="6"/>
    </row>
    <row r="34" spans="1:4" x14ac:dyDescent="0.35">
      <c r="A34" s="11">
        <v>28</v>
      </c>
      <c r="B34" s="2" t="s">
        <v>47</v>
      </c>
      <c r="C34" s="11">
        <v>0</v>
      </c>
      <c r="D34" s="6"/>
    </row>
    <row r="35" spans="1:4" ht="26" x14ac:dyDescent="0.35">
      <c r="A35" s="11">
        <v>29</v>
      </c>
      <c r="B35" s="2" t="s">
        <v>22</v>
      </c>
      <c r="C35" s="11">
        <v>0</v>
      </c>
      <c r="D35" s="6"/>
    </row>
    <row r="36" spans="1:4" ht="29" x14ac:dyDescent="0.35">
      <c r="A36" s="11">
        <v>30</v>
      </c>
      <c r="B36" s="2" t="s">
        <v>23</v>
      </c>
      <c r="C36" s="11">
        <v>4</v>
      </c>
      <c r="D36" s="157" t="s">
        <v>174</v>
      </c>
    </row>
    <row r="37" spans="1:4" x14ac:dyDescent="0.35">
      <c r="A37" s="11">
        <v>31</v>
      </c>
      <c r="B37" s="2" t="s">
        <v>24</v>
      </c>
      <c r="C37" s="11">
        <v>0</v>
      </c>
      <c r="D37" s="6"/>
    </row>
    <row r="38" spans="1:4" ht="26" x14ac:dyDescent="0.35">
      <c r="A38" s="11">
        <v>32</v>
      </c>
      <c r="B38" s="2" t="s">
        <v>37</v>
      </c>
      <c r="C38" s="11">
        <v>0</v>
      </c>
      <c r="D38" s="6"/>
    </row>
    <row r="39" spans="1:4" ht="26" x14ac:dyDescent="0.35">
      <c r="A39" s="11">
        <v>33</v>
      </c>
      <c r="B39" s="2" t="s">
        <v>25</v>
      </c>
      <c r="C39" s="11">
        <v>0</v>
      </c>
      <c r="D39" s="6"/>
    </row>
    <row r="40" spans="1:4" x14ac:dyDescent="0.35">
      <c r="A40" s="11">
        <v>34</v>
      </c>
      <c r="B40" s="2" t="s">
        <v>39</v>
      </c>
      <c r="C40" s="11">
        <v>0</v>
      </c>
      <c r="D40" s="6"/>
    </row>
    <row r="41" spans="1:4" x14ac:dyDescent="0.35">
      <c r="A41" s="11">
        <v>35</v>
      </c>
      <c r="B41" s="2" t="s">
        <v>26</v>
      </c>
      <c r="C41" s="11">
        <v>0</v>
      </c>
      <c r="D41" s="160"/>
    </row>
    <row r="42" spans="1:4" x14ac:dyDescent="0.35">
      <c r="A42" s="11">
        <v>36</v>
      </c>
      <c r="B42" s="2" t="s">
        <v>43</v>
      </c>
      <c r="C42" s="11">
        <v>0</v>
      </c>
      <c r="D42" s="160"/>
    </row>
    <row r="43" spans="1:4" x14ac:dyDescent="0.35">
      <c r="A43" s="11"/>
      <c r="B43" s="9" t="s">
        <v>27</v>
      </c>
      <c r="C43" s="11"/>
      <c r="D43" s="6"/>
    </row>
    <row r="44" spans="1:4" x14ac:dyDescent="0.35">
      <c r="A44" s="11">
        <v>37</v>
      </c>
      <c r="B44" s="2" t="s">
        <v>28</v>
      </c>
      <c r="C44" s="11">
        <v>0</v>
      </c>
      <c r="D44" s="162"/>
    </row>
    <row r="45" spans="1:4" ht="26" x14ac:dyDescent="0.35">
      <c r="A45" s="11">
        <v>38</v>
      </c>
      <c r="B45" s="2" t="s">
        <v>52</v>
      </c>
      <c r="C45" s="11">
        <v>0</v>
      </c>
      <c r="D45" s="162"/>
    </row>
    <row r="46" spans="1:4" ht="26" x14ac:dyDescent="0.35">
      <c r="A46" s="11">
        <v>39</v>
      </c>
      <c r="B46" s="2" t="s">
        <v>40</v>
      </c>
      <c r="C46" s="11">
        <v>0</v>
      </c>
      <c r="D46" s="6"/>
    </row>
    <row r="47" spans="1:4" ht="26" x14ac:dyDescent="0.35">
      <c r="A47" s="11">
        <v>40</v>
      </c>
      <c r="B47" s="2" t="s">
        <v>41</v>
      </c>
      <c r="C47" s="156">
        <v>0</v>
      </c>
      <c r="D47" s="6"/>
    </row>
    <row r="48" spans="1:4" x14ac:dyDescent="0.35">
      <c r="A48" s="11">
        <v>41</v>
      </c>
      <c r="B48" s="2" t="s">
        <v>33</v>
      </c>
      <c r="C48" s="11">
        <v>0</v>
      </c>
      <c r="D48" s="6"/>
    </row>
    <row r="49" spans="1:4" x14ac:dyDescent="0.35">
      <c r="A49" s="11">
        <v>42</v>
      </c>
      <c r="B49" s="2" t="s">
        <v>53</v>
      </c>
      <c r="C49" s="11">
        <v>0</v>
      </c>
      <c r="D49" s="6"/>
    </row>
    <row r="50" spans="1:4" x14ac:dyDescent="0.35">
      <c r="A50" s="11">
        <v>43</v>
      </c>
      <c r="B50" s="2" t="s">
        <v>34</v>
      </c>
      <c r="C50" s="11">
        <v>2</v>
      </c>
      <c r="D50" s="162"/>
    </row>
    <row r="51" spans="1:4" ht="26" x14ac:dyDescent="0.35">
      <c r="A51" s="11">
        <v>44</v>
      </c>
      <c r="B51" s="2" t="s">
        <v>55</v>
      </c>
      <c r="C51" s="11">
        <v>0</v>
      </c>
      <c r="D51" s="160"/>
    </row>
    <row r="52" spans="1:4" ht="26" x14ac:dyDescent="0.35">
      <c r="A52" s="11">
        <v>45</v>
      </c>
      <c r="B52" s="2" t="s">
        <v>54</v>
      </c>
      <c r="C52" s="11">
        <v>14</v>
      </c>
      <c r="D52" s="160"/>
    </row>
    <row r="53" spans="1:4" x14ac:dyDescent="0.35">
      <c r="A53" s="11"/>
      <c r="B53" s="9" t="s">
        <v>29</v>
      </c>
      <c r="C53" s="11"/>
      <c r="D53" s="6"/>
    </row>
    <row r="54" spans="1:4" ht="58" x14ac:dyDescent="0.35">
      <c r="A54" s="11">
        <v>46</v>
      </c>
      <c r="B54" s="161" t="s">
        <v>30</v>
      </c>
      <c r="C54" s="159">
        <v>6</v>
      </c>
      <c r="D54" s="156" t="s">
        <v>175</v>
      </c>
    </row>
    <row r="55" spans="1:4" x14ac:dyDescent="0.35">
      <c r="A55" s="11"/>
      <c r="B55" s="9" t="s">
        <v>31</v>
      </c>
      <c r="C55" s="11"/>
      <c r="D55" s="157"/>
    </row>
    <row r="56" spans="1:4" ht="145" x14ac:dyDescent="0.35">
      <c r="A56" s="11">
        <v>47</v>
      </c>
      <c r="B56" s="2" t="s">
        <v>35</v>
      </c>
      <c r="C56" s="163">
        <v>6</v>
      </c>
      <c r="D56" s="53" t="s">
        <v>176</v>
      </c>
    </row>
    <row r="57" spans="1:4" x14ac:dyDescent="0.35">
      <c r="A57" s="11">
        <v>48</v>
      </c>
      <c r="B57" s="9" t="s">
        <v>36</v>
      </c>
      <c r="C57" s="163">
        <v>0</v>
      </c>
      <c r="D57" s="164"/>
    </row>
  </sheetData>
  <mergeCells count="2">
    <mergeCell ref="A1:C1"/>
    <mergeCell ref="A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42F09-A444-41AA-9EA5-BFFE6662B8FE}">
  <dimension ref="A1:F69"/>
  <sheetViews>
    <sheetView topLeftCell="A53" workbookViewId="0">
      <selection activeCell="F66" sqref="F66"/>
    </sheetView>
  </sheetViews>
  <sheetFormatPr defaultRowHeight="14.5" x14ac:dyDescent="0.35"/>
  <cols>
    <col min="2" max="2" width="50.90625" customWidth="1"/>
    <col min="3" max="3" width="8.7265625" customWidth="1"/>
  </cols>
  <sheetData>
    <row r="1" spans="1:6" x14ac:dyDescent="0.35">
      <c r="A1" s="130" t="s">
        <v>162</v>
      </c>
      <c r="B1" s="131"/>
      <c r="C1" s="131"/>
      <c r="D1" s="39"/>
      <c r="E1" s="39"/>
      <c r="F1" s="44"/>
    </row>
    <row r="2" spans="1:6" x14ac:dyDescent="0.35">
      <c r="A2" s="131" t="s">
        <v>80</v>
      </c>
      <c r="B2" s="131"/>
      <c r="C2" s="131"/>
      <c r="D2" s="39"/>
      <c r="E2" s="39"/>
      <c r="F2" s="44"/>
    </row>
    <row r="3" spans="1:6" x14ac:dyDescent="0.35">
      <c r="A3" s="57" t="s">
        <v>0</v>
      </c>
      <c r="B3" s="56" t="s">
        <v>1</v>
      </c>
      <c r="C3" s="132" t="s">
        <v>125</v>
      </c>
      <c r="D3" s="133"/>
      <c r="E3" s="133"/>
      <c r="F3" s="133"/>
    </row>
    <row r="4" spans="1:6" x14ac:dyDescent="0.35">
      <c r="A4" s="78"/>
      <c r="B4" s="47" t="s">
        <v>2</v>
      </c>
      <c r="C4" s="60" t="s">
        <v>126</v>
      </c>
      <c r="D4" t="s">
        <v>197</v>
      </c>
      <c r="E4" t="s">
        <v>164</v>
      </c>
      <c r="F4" t="s">
        <v>163</v>
      </c>
    </row>
    <row r="5" spans="1:6" x14ac:dyDescent="0.35">
      <c r="A5" s="45">
        <v>1</v>
      </c>
      <c r="B5" s="20" t="s">
        <v>44</v>
      </c>
      <c r="C5" s="49">
        <f>'EFFORT KMM'!F5</f>
        <v>0</v>
      </c>
      <c r="D5" s="109">
        <f>EFFORT!E5</f>
        <v>0</v>
      </c>
      <c r="E5" s="109">
        <f>MDDI!C5</f>
        <v>0</v>
      </c>
      <c r="F5" s="109">
        <f>SUM(C5:E5)</f>
        <v>0</v>
      </c>
    </row>
    <row r="6" spans="1:6" x14ac:dyDescent="0.35">
      <c r="A6" s="45">
        <v>2</v>
      </c>
      <c r="B6" s="20" t="s">
        <v>113</v>
      </c>
      <c r="C6" s="49">
        <f>'EFFORT KMM'!F6</f>
        <v>0</v>
      </c>
      <c r="D6" s="109">
        <f>EFFORT!E6</f>
        <v>0</v>
      </c>
      <c r="E6" s="109">
        <f>MDDI!C6</f>
        <v>0</v>
      </c>
      <c r="F6" s="109">
        <f t="shared" ref="F6:F69" si="0">SUM(C6:E6)</f>
        <v>0</v>
      </c>
    </row>
    <row r="7" spans="1:6" x14ac:dyDescent="0.35">
      <c r="A7" s="45">
        <v>3</v>
      </c>
      <c r="B7" s="20" t="s">
        <v>3</v>
      </c>
      <c r="C7" s="49">
        <f>'EFFORT KMM'!F7</f>
        <v>0</v>
      </c>
      <c r="D7" s="109">
        <f>EFFORT!E7</f>
        <v>0</v>
      </c>
      <c r="E7" s="109">
        <f>MDDI!C7</f>
        <v>0</v>
      </c>
      <c r="F7" s="109">
        <f t="shared" si="0"/>
        <v>0</v>
      </c>
    </row>
    <row r="8" spans="1:6" ht="29" x14ac:dyDescent="0.35">
      <c r="A8" s="45">
        <v>4</v>
      </c>
      <c r="B8" s="20" t="s">
        <v>4</v>
      </c>
      <c r="C8" s="49">
        <f>'EFFORT KMM'!F8</f>
        <v>48</v>
      </c>
      <c r="D8" s="109">
        <f>EFFORT!E8</f>
        <v>0</v>
      </c>
      <c r="E8" s="109">
        <f>MDDI!C8</f>
        <v>18</v>
      </c>
      <c r="F8" s="109">
        <f t="shared" si="0"/>
        <v>66</v>
      </c>
    </row>
    <row r="9" spans="1:6" ht="29" x14ac:dyDescent="0.35">
      <c r="A9" s="39">
        <v>5</v>
      </c>
      <c r="B9" s="53" t="s">
        <v>5</v>
      </c>
      <c r="C9" s="49">
        <f>'EFFORT KMM'!F9</f>
        <v>0</v>
      </c>
      <c r="D9" s="109">
        <f>EFFORT!E9</f>
        <v>0</v>
      </c>
      <c r="E9" s="109">
        <f>MDDI!C9</f>
        <v>0</v>
      </c>
      <c r="F9" s="109">
        <f t="shared" si="0"/>
        <v>0</v>
      </c>
    </row>
    <row r="10" spans="1:6" x14ac:dyDescent="0.35">
      <c r="A10" s="45">
        <v>6</v>
      </c>
      <c r="B10" s="20" t="s">
        <v>6</v>
      </c>
      <c r="C10" s="49">
        <f>'EFFORT KMM'!F10</f>
        <v>0</v>
      </c>
      <c r="D10" s="109">
        <f>EFFORT!E10</f>
        <v>0</v>
      </c>
      <c r="E10" s="109">
        <f>MDDI!C10</f>
        <v>0</v>
      </c>
      <c r="F10" s="109">
        <f t="shared" si="0"/>
        <v>0</v>
      </c>
    </row>
    <row r="11" spans="1:6" ht="29" x14ac:dyDescent="0.35">
      <c r="A11" s="39">
        <v>7</v>
      </c>
      <c r="B11" s="53" t="s">
        <v>32</v>
      </c>
      <c r="C11" s="49">
        <f>'EFFORT KMM'!F11</f>
        <v>0</v>
      </c>
      <c r="D11" s="109">
        <f>EFFORT!E11</f>
        <v>0</v>
      </c>
      <c r="E11" s="109">
        <f>MDDI!C11</f>
        <v>0</v>
      </c>
      <c r="F11" s="109">
        <f t="shared" si="0"/>
        <v>0</v>
      </c>
    </row>
    <row r="12" spans="1:6" x14ac:dyDescent="0.35">
      <c r="A12" s="78"/>
      <c r="B12" s="70" t="s">
        <v>7</v>
      </c>
      <c r="C12" s="62"/>
      <c r="D12" s="109"/>
      <c r="E12" s="109"/>
      <c r="F12" s="109"/>
    </row>
    <row r="13" spans="1:6" ht="29" x14ac:dyDescent="0.35">
      <c r="A13" s="45">
        <v>8</v>
      </c>
      <c r="B13" s="20" t="s">
        <v>8</v>
      </c>
      <c r="C13" s="49">
        <f>'EFFORT KMM'!F13</f>
        <v>0</v>
      </c>
      <c r="D13" s="109">
        <f>EFFORT!E13</f>
        <v>0</v>
      </c>
      <c r="E13" s="109">
        <f>MDDI!C13</f>
        <v>0</v>
      </c>
      <c r="F13" s="109">
        <f t="shared" si="0"/>
        <v>0</v>
      </c>
    </row>
    <row r="14" spans="1:6" x14ac:dyDescent="0.35">
      <c r="A14" s="45">
        <v>9</v>
      </c>
      <c r="B14" s="20" t="s">
        <v>9</v>
      </c>
      <c r="C14" s="49">
        <f>'EFFORT KMM'!F14</f>
        <v>0</v>
      </c>
      <c r="D14" s="109">
        <f>EFFORT!E14</f>
        <v>0</v>
      </c>
      <c r="E14" s="109">
        <f>MDDI!C14</f>
        <v>0</v>
      </c>
      <c r="F14" s="109">
        <f t="shared" si="0"/>
        <v>0</v>
      </c>
    </row>
    <row r="15" spans="1:6" ht="29" x14ac:dyDescent="0.35">
      <c r="A15" s="45">
        <v>10</v>
      </c>
      <c r="B15" s="20" t="s">
        <v>10</v>
      </c>
      <c r="C15" s="49">
        <f>'EFFORT KMM'!F15</f>
        <v>0</v>
      </c>
      <c r="D15" s="109">
        <f>EFFORT!E15</f>
        <v>0</v>
      </c>
      <c r="E15" s="109">
        <f>MDDI!C15</f>
        <v>0</v>
      </c>
      <c r="F15" s="109">
        <f t="shared" si="0"/>
        <v>0</v>
      </c>
    </row>
    <row r="16" spans="1:6" x14ac:dyDescent="0.35">
      <c r="A16" s="45">
        <v>11</v>
      </c>
      <c r="B16" s="20" t="s">
        <v>11</v>
      </c>
      <c r="C16" s="49">
        <f>'EFFORT KMM'!F16</f>
        <v>0</v>
      </c>
      <c r="D16" s="109">
        <f>EFFORT!E16</f>
        <v>0</v>
      </c>
      <c r="E16" s="109">
        <f>MDDI!C16</f>
        <v>0</v>
      </c>
      <c r="F16" s="109">
        <f t="shared" si="0"/>
        <v>0</v>
      </c>
    </row>
    <row r="17" spans="1:6" ht="29" x14ac:dyDescent="0.35">
      <c r="A17" s="39">
        <v>12</v>
      </c>
      <c r="B17" s="53" t="s">
        <v>12</v>
      </c>
      <c r="C17" s="49">
        <f>'EFFORT KMM'!F17</f>
        <v>0</v>
      </c>
      <c r="D17" s="109">
        <f>EFFORT!E17</f>
        <v>0</v>
      </c>
      <c r="E17" s="109">
        <f>MDDI!C17</f>
        <v>0</v>
      </c>
      <c r="F17" s="109">
        <f t="shared" si="0"/>
        <v>0</v>
      </c>
    </row>
    <row r="18" spans="1:6" ht="29" x14ac:dyDescent="0.35">
      <c r="A18" s="45">
        <v>13</v>
      </c>
      <c r="B18" s="20" t="s">
        <v>13</v>
      </c>
      <c r="C18" s="49">
        <f>'EFFORT KMM'!F18</f>
        <v>0</v>
      </c>
      <c r="D18" s="109">
        <f>EFFORT!E18</f>
        <v>0</v>
      </c>
      <c r="E18" s="109">
        <f>MDDI!C18</f>
        <v>0</v>
      </c>
      <c r="F18" s="109">
        <f t="shared" si="0"/>
        <v>0</v>
      </c>
    </row>
    <row r="19" spans="1:6" x14ac:dyDescent="0.35">
      <c r="A19" s="45">
        <v>14</v>
      </c>
      <c r="B19" s="20" t="s">
        <v>14</v>
      </c>
      <c r="C19" s="49">
        <f>'EFFORT KMM'!F19</f>
        <v>0</v>
      </c>
      <c r="D19" s="109">
        <f>EFFORT!E19</f>
        <v>0</v>
      </c>
      <c r="E19" s="109">
        <f>MDDI!C19</f>
        <v>0</v>
      </c>
      <c r="F19" s="109">
        <f t="shared" si="0"/>
        <v>0</v>
      </c>
    </row>
    <row r="20" spans="1:6" x14ac:dyDescent="0.35">
      <c r="A20" s="45">
        <v>15</v>
      </c>
      <c r="B20" s="20" t="s">
        <v>15</v>
      </c>
      <c r="C20" s="49">
        <f>'EFFORT KMM'!F20</f>
        <v>0</v>
      </c>
      <c r="D20" s="109">
        <f>EFFORT!E20</f>
        <v>0</v>
      </c>
      <c r="E20" s="109">
        <f>MDDI!C20</f>
        <v>0</v>
      </c>
      <c r="F20" s="109">
        <f t="shared" si="0"/>
        <v>0</v>
      </c>
    </row>
    <row r="21" spans="1:6" x14ac:dyDescent="0.35">
      <c r="A21" s="45">
        <v>16</v>
      </c>
      <c r="B21" s="20" t="s">
        <v>16</v>
      </c>
      <c r="C21" s="49">
        <f>'EFFORT KMM'!F21</f>
        <v>0</v>
      </c>
      <c r="D21" s="109">
        <f>EFFORT!E21</f>
        <v>0</v>
      </c>
      <c r="E21" s="109">
        <f>MDDI!C21</f>
        <v>0</v>
      </c>
      <c r="F21" s="109">
        <f t="shared" si="0"/>
        <v>0</v>
      </c>
    </row>
    <row r="22" spans="1:6" x14ac:dyDescent="0.35">
      <c r="A22" s="45">
        <v>17</v>
      </c>
      <c r="B22" s="20" t="s">
        <v>17</v>
      </c>
      <c r="C22" s="49">
        <f>'EFFORT KMM'!F22</f>
        <v>0</v>
      </c>
      <c r="D22" s="109">
        <f>EFFORT!E22</f>
        <v>0</v>
      </c>
      <c r="E22" s="109">
        <f>MDDI!C22</f>
        <v>0</v>
      </c>
      <c r="F22" s="109">
        <f t="shared" si="0"/>
        <v>0</v>
      </c>
    </row>
    <row r="23" spans="1:6" x14ac:dyDescent="0.35">
      <c r="A23" s="45">
        <v>18</v>
      </c>
      <c r="B23" s="20" t="s">
        <v>18</v>
      </c>
      <c r="C23" s="49">
        <f>'EFFORT KMM'!F23</f>
        <v>0</v>
      </c>
      <c r="D23" s="109">
        <f>EFFORT!E23</f>
        <v>0</v>
      </c>
      <c r="E23" s="109">
        <f>MDDI!C23</f>
        <v>0</v>
      </c>
      <c r="F23" s="109">
        <f t="shared" si="0"/>
        <v>0</v>
      </c>
    </row>
    <row r="24" spans="1:6" x14ac:dyDescent="0.35">
      <c r="A24" s="45">
        <v>19</v>
      </c>
      <c r="B24" s="20" t="s">
        <v>19</v>
      </c>
      <c r="C24" s="49">
        <f>'EFFORT KMM'!F24</f>
        <v>0</v>
      </c>
      <c r="D24" s="109">
        <f>EFFORT!E24</f>
        <v>0</v>
      </c>
      <c r="E24" s="109">
        <f>MDDI!C24</f>
        <v>0</v>
      </c>
      <c r="F24" s="109">
        <f t="shared" si="0"/>
        <v>0</v>
      </c>
    </row>
    <row r="25" spans="1:6" x14ac:dyDescent="0.35">
      <c r="A25" s="45">
        <v>20</v>
      </c>
      <c r="B25" s="20" t="s">
        <v>20</v>
      </c>
      <c r="C25" s="49">
        <f>'EFFORT KMM'!F25</f>
        <v>0</v>
      </c>
      <c r="D25" s="109">
        <f>EFFORT!E25</f>
        <v>0</v>
      </c>
      <c r="E25" s="109">
        <f>MDDI!C25</f>
        <v>0</v>
      </c>
      <c r="F25" s="109">
        <f t="shared" si="0"/>
        <v>0</v>
      </c>
    </row>
    <row r="26" spans="1:6" x14ac:dyDescent="0.35">
      <c r="A26" s="45">
        <v>21</v>
      </c>
      <c r="B26" s="20" t="s">
        <v>38</v>
      </c>
      <c r="C26" s="49">
        <f>'EFFORT KMM'!F26</f>
        <v>20</v>
      </c>
      <c r="D26" s="109">
        <f>EFFORT!E26</f>
        <v>0</v>
      </c>
      <c r="E26" s="109">
        <f>MDDI!C26</f>
        <v>0</v>
      </c>
      <c r="F26" s="109">
        <f t="shared" si="0"/>
        <v>20</v>
      </c>
    </row>
    <row r="27" spans="1:6" x14ac:dyDescent="0.35">
      <c r="A27" s="78"/>
      <c r="B27" s="70" t="s">
        <v>21</v>
      </c>
      <c r="C27" s="49"/>
      <c r="D27" s="109"/>
      <c r="E27" s="109"/>
      <c r="F27" s="109"/>
    </row>
    <row r="28" spans="1:6" x14ac:dyDescent="0.35">
      <c r="A28" s="45">
        <v>22</v>
      </c>
      <c r="B28" s="20" t="s">
        <v>48</v>
      </c>
      <c r="C28" s="49">
        <f>'EFFORT KMM'!F28</f>
        <v>0</v>
      </c>
      <c r="D28" s="109">
        <f>EFFORT!E28</f>
        <v>0</v>
      </c>
      <c r="E28" s="109">
        <f>MDDI!C28</f>
        <v>1</v>
      </c>
      <c r="F28" s="109">
        <f t="shared" si="0"/>
        <v>1</v>
      </c>
    </row>
    <row r="29" spans="1:6" x14ac:dyDescent="0.35">
      <c r="A29" s="45">
        <v>23</v>
      </c>
      <c r="B29" s="20" t="s">
        <v>49</v>
      </c>
      <c r="C29" s="49">
        <f>'EFFORT KMM'!F29</f>
        <v>0</v>
      </c>
      <c r="D29" s="109">
        <f>EFFORT!E29</f>
        <v>0</v>
      </c>
      <c r="E29" s="109">
        <f>MDDI!C29</f>
        <v>4</v>
      </c>
      <c r="F29" s="109">
        <f t="shared" si="0"/>
        <v>4</v>
      </c>
    </row>
    <row r="30" spans="1:6" ht="29" x14ac:dyDescent="0.35">
      <c r="A30" s="39">
        <v>24</v>
      </c>
      <c r="B30" s="53" t="s">
        <v>42</v>
      </c>
      <c r="C30" s="49">
        <f>'EFFORT KMM'!F30</f>
        <v>0</v>
      </c>
      <c r="D30" s="109">
        <f>EFFORT!E30</f>
        <v>0</v>
      </c>
      <c r="E30" s="109">
        <f>MDDI!C30</f>
        <v>0</v>
      </c>
      <c r="F30" s="109">
        <f t="shared" si="0"/>
        <v>0</v>
      </c>
    </row>
    <row r="31" spans="1:6" ht="29" x14ac:dyDescent="0.35">
      <c r="A31" s="39">
        <v>25</v>
      </c>
      <c r="B31" s="53" t="s">
        <v>50</v>
      </c>
      <c r="C31" s="49">
        <f>'EFFORT KMM'!F31</f>
        <v>0</v>
      </c>
      <c r="D31" s="109">
        <f>EFFORT!E31</f>
        <v>0</v>
      </c>
      <c r="E31" s="109">
        <f>MDDI!C31</f>
        <v>0</v>
      </c>
      <c r="F31" s="109">
        <f t="shared" si="0"/>
        <v>0</v>
      </c>
    </row>
    <row r="32" spans="1:6" ht="29" x14ac:dyDescent="0.35">
      <c r="A32" s="39">
        <v>26</v>
      </c>
      <c r="B32" s="53" t="s">
        <v>51</v>
      </c>
      <c r="C32" s="49">
        <f>'EFFORT KMM'!F32</f>
        <v>0</v>
      </c>
      <c r="D32" s="109">
        <f>EFFORT!E32</f>
        <v>0</v>
      </c>
      <c r="E32" s="109">
        <f>MDDI!C32</f>
        <v>0</v>
      </c>
      <c r="F32" s="109">
        <f t="shared" si="0"/>
        <v>0</v>
      </c>
    </row>
    <row r="33" spans="1:6" x14ac:dyDescent="0.35">
      <c r="A33" s="45">
        <v>27</v>
      </c>
      <c r="B33" s="20" t="s">
        <v>46</v>
      </c>
      <c r="C33" s="49">
        <f>'EFFORT KMM'!F33</f>
        <v>0</v>
      </c>
      <c r="D33" s="109">
        <f>EFFORT!E33</f>
        <v>0</v>
      </c>
      <c r="E33" s="109">
        <f>MDDI!C33</f>
        <v>0</v>
      </c>
      <c r="F33" s="109">
        <f t="shared" si="0"/>
        <v>0</v>
      </c>
    </row>
    <row r="34" spans="1:6" x14ac:dyDescent="0.35">
      <c r="A34" s="45">
        <v>28</v>
      </c>
      <c r="B34" s="20" t="s">
        <v>47</v>
      </c>
      <c r="C34" s="49">
        <f>'EFFORT KMM'!F34</f>
        <v>0</v>
      </c>
      <c r="D34" s="109">
        <f>EFFORT!E34</f>
        <v>0</v>
      </c>
      <c r="E34" s="109">
        <f>MDDI!C34</f>
        <v>0</v>
      </c>
      <c r="F34" s="109">
        <f t="shared" si="0"/>
        <v>0</v>
      </c>
    </row>
    <row r="35" spans="1:6" x14ac:dyDescent="0.35">
      <c r="A35" s="45">
        <v>29</v>
      </c>
      <c r="B35" s="20" t="s">
        <v>22</v>
      </c>
      <c r="C35" s="49">
        <f>'EFFORT KMM'!F35</f>
        <v>0</v>
      </c>
      <c r="D35" s="109">
        <f>EFFORT!E35</f>
        <v>0</v>
      </c>
      <c r="E35" s="109">
        <f>MDDI!C35</f>
        <v>0</v>
      </c>
      <c r="F35" s="109">
        <f t="shared" si="0"/>
        <v>0</v>
      </c>
    </row>
    <row r="36" spans="1:6" x14ac:dyDescent="0.35">
      <c r="A36" s="45">
        <v>30</v>
      </c>
      <c r="B36" s="20" t="s">
        <v>23</v>
      </c>
      <c r="C36" s="49">
        <f>'EFFORT KMM'!F36</f>
        <v>0</v>
      </c>
      <c r="D36" s="109">
        <f>EFFORT!E36</f>
        <v>0</v>
      </c>
      <c r="E36" s="109">
        <f>MDDI!C36</f>
        <v>4</v>
      </c>
      <c r="F36" s="109">
        <f t="shared" si="0"/>
        <v>4</v>
      </c>
    </row>
    <row r="37" spans="1:6" x14ac:dyDescent="0.35">
      <c r="A37" s="45">
        <v>31</v>
      </c>
      <c r="B37" s="20" t="s">
        <v>24</v>
      </c>
      <c r="C37" s="49">
        <f>'EFFORT KMM'!F37</f>
        <v>0</v>
      </c>
      <c r="D37" s="109">
        <f>EFFORT!E37</f>
        <v>0</v>
      </c>
      <c r="E37" s="109">
        <f>MDDI!C37</f>
        <v>0</v>
      </c>
      <c r="F37" s="109">
        <f t="shared" si="0"/>
        <v>0</v>
      </c>
    </row>
    <row r="38" spans="1:6" ht="29" x14ac:dyDescent="0.35">
      <c r="A38" s="45">
        <v>32</v>
      </c>
      <c r="B38" s="20" t="s">
        <v>37</v>
      </c>
      <c r="C38" s="49">
        <f>'EFFORT KMM'!F38</f>
        <v>2</v>
      </c>
      <c r="D38" s="109">
        <f>EFFORT!E38</f>
        <v>0</v>
      </c>
      <c r="E38" s="109">
        <f>MDDI!C38</f>
        <v>0</v>
      </c>
      <c r="F38" s="109">
        <f t="shared" si="0"/>
        <v>2</v>
      </c>
    </row>
    <row r="39" spans="1:6" ht="29" x14ac:dyDescent="0.35">
      <c r="A39" s="39">
        <v>33</v>
      </c>
      <c r="B39" s="53" t="s">
        <v>25</v>
      </c>
      <c r="C39" s="49">
        <f>'EFFORT KMM'!F39</f>
        <v>0</v>
      </c>
      <c r="D39" s="109">
        <f>EFFORT!E39</f>
        <v>0</v>
      </c>
      <c r="E39" s="109">
        <f>MDDI!C39</f>
        <v>0</v>
      </c>
      <c r="F39" s="109">
        <f t="shared" si="0"/>
        <v>0</v>
      </c>
    </row>
    <row r="40" spans="1:6" x14ac:dyDescent="0.35">
      <c r="A40" s="45">
        <v>34</v>
      </c>
      <c r="B40" s="20" t="s">
        <v>39</v>
      </c>
      <c r="C40" s="49">
        <f>'EFFORT KMM'!F40</f>
        <v>1</v>
      </c>
      <c r="D40" s="109">
        <f>EFFORT!E40</f>
        <v>0</v>
      </c>
      <c r="E40" s="109">
        <f>MDDI!C40</f>
        <v>0</v>
      </c>
      <c r="F40" s="109">
        <f t="shared" si="0"/>
        <v>1</v>
      </c>
    </row>
    <row r="41" spans="1:6" x14ac:dyDescent="0.35">
      <c r="A41" s="45">
        <v>35</v>
      </c>
      <c r="B41" s="20" t="s">
        <v>26</v>
      </c>
      <c r="C41" s="49">
        <f>'EFFORT KMM'!F41</f>
        <v>0</v>
      </c>
      <c r="D41" s="109">
        <f>EFFORT!E41</f>
        <v>0</v>
      </c>
      <c r="E41" s="109">
        <f>MDDI!C41</f>
        <v>0</v>
      </c>
      <c r="F41" s="109">
        <f t="shared" si="0"/>
        <v>0</v>
      </c>
    </row>
    <row r="42" spans="1:6" x14ac:dyDescent="0.35">
      <c r="A42" s="45">
        <v>36</v>
      </c>
      <c r="B42" s="67" t="s">
        <v>43</v>
      </c>
      <c r="C42" s="49">
        <f>'EFFORT KMM'!F42</f>
        <v>0</v>
      </c>
      <c r="D42" s="109">
        <f>EFFORT!E42</f>
        <v>0</v>
      </c>
      <c r="E42" s="109">
        <f>MDDI!C42</f>
        <v>0</v>
      </c>
      <c r="F42" s="109">
        <f t="shared" si="0"/>
        <v>0</v>
      </c>
    </row>
    <row r="43" spans="1:6" x14ac:dyDescent="0.35">
      <c r="A43" s="79"/>
      <c r="B43" s="70" t="s">
        <v>27</v>
      </c>
      <c r="C43" s="62"/>
      <c r="D43" s="109"/>
      <c r="E43" s="109"/>
      <c r="F43" s="109"/>
    </row>
    <row r="44" spans="1:6" x14ac:dyDescent="0.35">
      <c r="A44" s="45">
        <v>37</v>
      </c>
      <c r="B44" s="68" t="s">
        <v>28</v>
      </c>
      <c r="C44" s="49">
        <f>'EFFORT KMM'!F44</f>
        <v>5</v>
      </c>
      <c r="D44" s="109">
        <f>EFFORT!E44</f>
        <v>0</v>
      </c>
      <c r="E44" s="109">
        <f>MDDI!C44</f>
        <v>0</v>
      </c>
      <c r="F44" s="109">
        <f t="shared" si="0"/>
        <v>5</v>
      </c>
    </row>
    <row r="45" spans="1:6" ht="29" x14ac:dyDescent="0.35">
      <c r="A45" s="39">
        <v>38</v>
      </c>
      <c r="B45" s="53" t="s">
        <v>52</v>
      </c>
      <c r="C45" s="49">
        <f>'EFFORT KMM'!F45</f>
        <v>1</v>
      </c>
      <c r="D45" s="109">
        <f>EFFORT!E45</f>
        <v>0</v>
      </c>
      <c r="E45" s="109">
        <f>MDDI!C45</f>
        <v>0</v>
      </c>
      <c r="F45" s="109">
        <f t="shared" si="0"/>
        <v>1</v>
      </c>
    </row>
    <row r="46" spans="1:6" ht="29" x14ac:dyDescent="0.35">
      <c r="A46" s="45">
        <v>39</v>
      </c>
      <c r="B46" s="20" t="s">
        <v>40</v>
      </c>
      <c r="C46" s="49">
        <f>'EFFORT KMM'!F46</f>
        <v>5</v>
      </c>
      <c r="D46" s="109">
        <f>EFFORT!E46</f>
        <v>0</v>
      </c>
      <c r="E46" s="109">
        <f>MDDI!C46</f>
        <v>0</v>
      </c>
      <c r="F46" s="109">
        <f t="shared" si="0"/>
        <v>5</v>
      </c>
    </row>
    <row r="47" spans="1:6" x14ac:dyDescent="0.35">
      <c r="A47" s="45">
        <v>40</v>
      </c>
      <c r="B47" s="20" t="s">
        <v>41</v>
      </c>
      <c r="C47" s="49">
        <f>'EFFORT KMM'!F47</f>
        <v>131</v>
      </c>
      <c r="D47" s="109">
        <f>EFFORT!E47</f>
        <v>0</v>
      </c>
      <c r="E47" s="109">
        <f>MDDI!C47</f>
        <v>0</v>
      </c>
      <c r="F47" s="109">
        <f t="shared" si="0"/>
        <v>131</v>
      </c>
    </row>
    <row r="48" spans="1:6" x14ac:dyDescent="0.35">
      <c r="A48" s="45">
        <v>41</v>
      </c>
      <c r="B48" s="20" t="s">
        <v>33</v>
      </c>
      <c r="C48" s="49">
        <f>'EFFORT KMM'!F48</f>
        <v>0</v>
      </c>
      <c r="D48" s="109">
        <f>EFFORT!E48</f>
        <v>0</v>
      </c>
      <c r="E48" s="109">
        <f>MDDI!C48</f>
        <v>0</v>
      </c>
      <c r="F48" s="109">
        <f t="shared" si="0"/>
        <v>0</v>
      </c>
    </row>
    <row r="49" spans="1:6" x14ac:dyDescent="0.35">
      <c r="A49" s="45">
        <v>42</v>
      </c>
      <c r="B49" s="20" t="s">
        <v>53</v>
      </c>
      <c r="C49" s="49">
        <f>'EFFORT KMM'!F49</f>
        <v>0</v>
      </c>
      <c r="D49" s="109">
        <f>EFFORT!E49</f>
        <v>0</v>
      </c>
      <c r="E49" s="109">
        <f>MDDI!C49</f>
        <v>0</v>
      </c>
      <c r="F49" s="109">
        <f t="shared" si="0"/>
        <v>0</v>
      </c>
    </row>
    <row r="50" spans="1:6" x14ac:dyDescent="0.35">
      <c r="A50" s="45">
        <v>43</v>
      </c>
      <c r="B50" s="20" t="s">
        <v>34</v>
      </c>
      <c r="C50" s="49">
        <f>'EFFORT KMM'!F50</f>
        <v>3</v>
      </c>
      <c r="D50" s="109">
        <f>EFFORT!E50</f>
        <v>2</v>
      </c>
      <c r="E50" s="109">
        <f>MDDI!C50</f>
        <v>2</v>
      </c>
      <c r="F50" s="109">
        <f t="shared" si="0"/>
        <v>7</v>
      </c>
    </row>
    <row r="51" spans="1:6" ht="29" x14ac:dyDescent="0.35">
      <c r="A51" s="45">
        <v>44</v>
      </c>
      <c r="B51" s="20" t="s">
        <v>55</v>
      </c>
      <c r="C51" s="49">
        <f>'EFFORT KMM'!F51</f>
        <v>3</v>
      </c>
      <c r="D51" s="109">
        <f>EFFORT!E51</f>
        <v>4</v>
      </c>
      <c r="E51" s="109">
        <f>MDDI!C51</f>
        <v>0</v>
      </c>
      <c r="F51" s="109">
        <f t="shared" si="0"/>
        <v>7</v>
      </c>
    </row>
    <row r="52" spans="1:6" ht="29" x14ac:dyDescent="0.35">
      <c r="A52" s="39">
        <v>45</v>
      </c>
      <c r="B52" s="53" t="s">
        <v>54</v>
      </c>
      <c r="C52" s="49">
        <f>'EFFORT KMM'!F52</f>
        <v>43</v>
      </c>
      <c r="D52" s="109">
        <f>EFFORT!E52</f>
        <v>2</v>
      </c>
      <c r="E52" s="109">
        <f>MDDI!C52</f>
        <v>14</v>
      </c>
      <c r="F52" s="109">
        <f t="shared" si="0"/>
        <v>59</v>
      </c>
    </row>
    <row r="53" spans="1:6" x14ac:dyDescent="0.35">
      <c r="A53" s="66"/>
      <c r="B53" s="70" t="s">
        <v>29</v>
      </c>
      <c r="C53" s="65"/>
      <c r="D53" s="109"/>
      <c r="E53" s="109"/>
      <c r="F53" s="109"/>
    </row>
    <row r="54" spans="1:6" ht="29" x14ac:dyDescent="0.35">
      <c r="A54" s="39">
        <v>46</v>
      </c>
      <c r="B54" s="53" t="s">
        <v>30</v>
      </c>
      <c r="C54" s="49">
        <f>'EFFORT KMM'!F54</f>
        <v>418</v>
      </c>
      <c r="D54" s="109">
        <f>EFFORT!E54</f>
        <v>0</v>
      </c>
      <c r="E54" s="109">
        <f>MDDI!C54</f>
        <v>6</v>
      </c>
      <c r="F54" s="109">
        <f t="shared" si="0"/>
        <v>424</v>
      </c>
    </row>
    <row r="55" spans="1:6" x14ac:dyDescent="0.35">
      <c r="A55" s="69"/>
      <c r="B55" s="70" t="s">
        <v>31</v>
      </c>
      <c r="C55" s="62"/>
      <c r="D55" s="109"/>
      <c r="E55" s="109"/>
      <c r="F55" s="109"/>
    </row>
    <row r="56" spans="1:6" x14ac:dyDescent="0.35">
      <c r="A56" s="45">
        <v>47</v>
      </c>
      <c r="B56" s="20" t="s">
        <v>35</v>
      </c>
      <c r="C56" s="49">
        <f>'EFFORT KMM'!F56</f>
        <v>0</v>
      </c>
      <c r="D56" s="109">
        <f>EFFORT!E56</f>
        <v>0</v>
      </c>
      <c r="E56" s="109">
        <f>MDDI!C56</f>
        <v>6</v>
      </c>
      <c r="F56" s="109">
        <f t="shared" si="0"/>
        <v>6</v>
      </c>
    </row>
    <row r="57" spans="1:6" x14ac:dyDescent="0.35">
      <c r="A57" s="45">
        <v>48</v>
      </c>
      <c r="B57" s="20" t="s">
        <v>36</v>
      </c>
      <c r="C57" s="49">
        <f>'EFFORT KMM'!F57</f>
        <v>0</v>
      </c>
      <c r="D57" s="109">
        <f>EFFORT!E57</f>
        <v>0</v>
      </c>
      <c r="E57" s="109">
        <f>MDDI!C57</f>
        <v>0</v>
      </c>
      <c r="F57" s="109">
        <f t="shared" si="0"/>
        <v>0</v>
      </c>
    </row>
    <row r="58" spans="1:6" x14ac:dyDescent="0.35">
      <c r="A58" s="18">
        <v>49</v>
      </c>
      <c r="B58" s="14" t="s">
        <v>35</v>
      </c>
      <c r="C58" s="102">
        <v>0</v>
      </c>
      <c r="D58" s="102">
        <v>0</v>
      </c>
      <c r="E58" s="109">
        <f>MDDI!C58</f>
        <v>0</v>
      </c>
      <c r="F58" s="109"/>
    </row>
    <row r="59" spans="1:6" x14ac:dyDescent="0.35">
      <c r="A59" s="18">
        <v>50</v>
      </c>
      <c r="B59" s="14" t="s">
        <v>36</v>
      </c>
      <c r="C59" s="102">
        <v>0</v>
      </c>
      <c r="D59" s="102">
        <v>0</v>
      </c>
      <c r="E59" s="109">
        <f>MDDI!C59</f>
        <v>0</v>
      </c>
      <c r="F59" s="109"/>
    </row>
    <row r="60" spans="1:6" x14ac:dyDescent="0.35">
      <c r="A60" s="181"/>
      <c r="B60" s="182" t="s">
        <v>187</v>
      </c>
      <c r="C60" s="187"/>
      <c r="D60" s="187"/>
      <c r="E60" s="187"/>
      <c r="F60" s="109"/>
    </row>
    <row r="61" spans="1:6" x14ac:dyDescent="0.35">
      <c r="A61" s="18">
        <v>51</v>
      </c>
      <c r="B61" s="14" t="s">
        <v>188</v>
      </c>
      <c r="C61" s="5">
        <f>'EFFORT KMM'!C61</f>
        <v>0</v>
      </c>
      <c r="D61" s="5">
        <f>EFFORT!E61</f>
        <v>0</v>
      </c>
      <c r="E61" s="5">
        <f>MDDI!C61</f>
        <v>0</v>
      </c>
      <c r="F61" s="109">
        <f t="shared" si="0"/>
        <v>0</v>
      </c>
    </row>
    <row r="62" spans="1:6" x14ac:dyDescent="0.35">
      <c r="A62" s="18">
        <v>52</v>
      </c>
      <c r="B62" s="14" t="s">
        <v>189</v>
      </c>
      <c r="C62" s="5">
        <f>'EFFORT KMM'!C62</f>
        <v>0</v>
      </c>
      <c r="D62" s="5">
        <f>EFFORT!E62</f>
        <v>0</v>
      </c>
      <c r="E62" s="5">
        <f>MDDI!C62</f>
        <v>0</v>
      </c>
      <c r="F62" s="109">
        <f t="shared" si="0"/>
        <v>0</v>
      </c>
    </row>
    <row r="63" spans="1:6" x14ac:dyDescent="0.35">
      <c r="A63" s="18">
        <v>53</v>
      </c>
      <c r="B63" s="14" t="s">
        <v>190</v>
      </c>
      <c r="C63" s="5">
        <f>'EFFORT KMM'!C63</f>
        <v>0</v>
      </c>
      <c r="D63" s="5">
        <f>EFFORT!E63</f>
        <v>0</v>
      </c>
      <c r="E63" s="5">
        <f>MDDI!C63</f>
        <v>0</v>
      </c>
      <c r="F63" s="109">
        <f t="shared" si="0"/>
        <v>0</v>
      </c>
    </row>
    <row r="64" spans="1:6" x14ac:dyDescent="0.35">
      <c r="A64" s="18">
        <v>54</v>
      </c>
      <c r="B64" s="14" t="s">
        <v>191</v>
      </c>
      <c r="C64" s="5">
        <f>'EFFORT KMM'!C64</f>
        <v>0</v>
      </c>
      <c r="D64" s="5">
        <f>EFFORT!E64</f>
        <v>0</v>
      </c>
      <c r="E64" s="5">
        <f>MDDI!C64</f>
        <v>0</v>
      </c>
      <c r="F64" s="109">
        <f t="shared" si="0"/>
        <v>0</v>
      </c>
    </row>
    <row r="65" spans="1:6" x14ac:dyDescent="0.35">
      <c r="A65" s="18">
        <v>55</v>
      </c>
      <c r="B65" s="14" t="s">
        <v>192</v>
      </c>
      <c r="C65" s="5">
        <f>'EFFORT KMM'!C65</f>
        <v>0</v>
      </c>
      <c r="D65" s="5">
        <f>EFFORT!E65</f>
        <v>103</v>
      </c>
      <c r="E65" s="5">
        <f>MDDI!C65</f>
        <v>0</v>
      </c>
      <c r="F65" s="109">
        <f t="shared" si="0"/>
        <v>103</v>
      </c>
    </row>
    <row r="66" spans="1:6" x14ac:dyDescent="0.35">
      <c r="A66" s="18">
        <v>56</v>
      </c>
      <c r="B66" s="14" t="s">
        <v>193</v>
      </c>
      <c r="C66" s="5">
        <f>'EFFORT KMM'!C66</f>
        <v>0</v>
      </c>
      <c r="D66" s="5">
        <f>EFFORT!E66</f>
        <v>9</v>
      </c>
      <c r="E66" s="5">
        <f>MDDI!C66</f>
        <v>0</v>
      </c>
      <c r="F66" s="109">
        <f t="shared" si="0"/>
        <v>9</v>
      </c>
    </row>
    <row r="67" spans="1:6" x14ac:dyDescent="0.35">
      <c r="A67" s="18">
        <v>57</v>
      </c>
      <c r="B67" s="14" t="s">
        <v>194</v>
      </c>
      <c r="C67" s="5">
        <f>'EFFORT KMM'!C67</f>
        <v>0</v>
      </c>
      <c r="D67" s="5">
        <f>EFFORT!E67</f>
        <v>5</v>
      </c>
      <c r="E67" s="5">
        <f>MDDI!C67</f>
        <v>0</v>
      </c>
      <c r="F67" s="109">
        <f t="shared" si="0"/>
        <v>5</v>
      </c>
    </row>
    <row r="68" spans="1:6" x14ac:dyDescent="0.35">
      <c r="A68" s="18">
        <v>58</v>
      </c>
      <c r="B68" s="14" t="s">
        <v>195</v>
      </c>
      <c r="C68" s="5">
        <f>'EFFORT KMM'!C68</f>
        <v>0</v>
      </c>
      <c r="D68" s="5">
        <f>EFFORT!E68</f>
        <v>3</v>
      </c>
      <c r="E68" s="5">
        <f>MDDI!C68</f>
        <v>0</v>
      </c>
      <c r="F68" s="109">
        <f t="shared" si="0"/>
        <v>3</v>
      </c>
    </row>
    <row r="69" spans="1:6" x14ac:dyDescent="0.35">
      <c r="A69" s="18">
        <v>59</v>
      </c>
      <c r="B69" s="14" t="s">
        <v>196</v>
      </c>
      <c r="C69" s="5">
        <f>'EFFORT KMM'!C69</f>
        <v>0</v>
      </c>
      <c r="D69" s="5">
        <f>EFFORT!E69</f>
        <v>0</v>
      </c>
      <c r="E69" s="5">
        <f>MDDI!C69</f>
        <v>0</v>
      </c>
      <c r="F69" s="109">
        <f t="shared" si="0"/>
        <v>0</v>
      </c>
    </row>
  </sheetData>
  <mergeCells count="3">
    <mergeCell ref="A1:C1"/>
    <mergeCell ref="A2:C2"/>
    <mergeCell ref="C3: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CD12-8C58-46A4-9D00-AAA3D7F3D763}">
  <dimension ref="A1:E70"/>
  <sheetViews>
    <sheetView tabSelected="1" workbookViewId="0">
      <selection activeCell="E54" sqref="E54"/>
    </sheetView>
  </sheetViews>
  <sheetFormatPr defaultRowHeight="14.5" x14ac:dyDescent="0.35"/>
  <cols>
    <col min="2" max="2" width="83.90625" customWidth="1"/>
  </cols>
  <sheetData>
    <row r="1" spans="1:5" x14ac:dyDescent="0.35">
      <c r="A1" s="153" t="s">
        <v>129</v>
      </c>
      <c r="B1" s="153"/>
      <c r="C1" s="153"/>
      <c r="D1" s="153"/>
      <c r="E1" s="153"/>
    </row>
    <row r="2" spans="1:5" x14ac:dyDescent="0.35">
      <c r="A2" s="153" t="s">
        <v>130</v>
      </c>
      <c r="B2" s="153"/>
      <c r="C2" s="153"/>
      <c r="D2" s="153"/>
      <c r="E2" s="153"/>
    </row>
    <row r="3" spans="1:5" x14ac:dyDescent="0.35">
      <c r="A3" s="76" t="s">
        <v>0</v>
      </c>
      <c r="B3" s="77" t="s">
        <v>1</v>
      </c>
      <c r="C3" s="154" t="s">
        <v>131</v>
      </c>
      <c r="D3" s="154"/>
      <c r="E3" s="154"/>
    </row>
    <row r="4" spans="1:5" x14ac:dyDescent="0.35">
      <c r="A4" s="71"/>
      <c r="B4" s="74" t="s">
        <v>2</v>
      </c>
      <c r="C4" s="71" t="s">
        <v>132</v>
      </c>
      <c r="D4" s="71" t="s">
        <v>133</v>
      </c>
      <c r="E4" s="71" t="s">
        <v>134</v>
      </c>
    </row>
    <row r="5" spans="1:5" x14ac:dyDescent="0.35">
      <c r="A5" s="39">
        <v>1</v>
      </c>
      <c r="B5" s="20" t="s">
        <v>44</v>
      </c>
      <c r="C5" s="73">
        <f>AP!G5</f>
        <v>0</v>
      </c>
      <c r="D5" s="18">
        <f>TG!F5</f>
        <v>0</v>
      </c>
      <c r="E5" s="39">
        <f>SUM(C5:D5)</f>
        <v>0</v>
      </c>
    </row>
    <row r="6" spans="1:5" x14ac:dyDescent="0.35">
      <c r="A6" s="39">
        <v>2</v>
      </c>
      <c r="B6" s="20" t="s">
        <v>45</v>
      </c>
      <c r="C6" s="73">
        <f>AP!G6</f>
        <v>0</v>
      </c>
      <c r="D6" s="18">
        <f>TG!F6</f>
        <v>0</v>
      </c>
      <c r="E6" s="39">
        <f t="shared" ref="E6:E57" si="0">SUM(C6:D6)</f>
        <v>0</v>
      </c>
    </row>
    <row r="7" spans="1:5" x14ac:dyDescent="0.35">
      <c r="A7" s="39">
        <v>3</v>
      </c>
      <c r="B7" s="20" t="s">
        <v>3</v>
      </c>
      <c r="C7" s="73">
        <f>AP!G7</f>
        <v>0</v>
      </c>
      <c r="D7" s="18">
        <f>TG!F7</f>
        <v>0</v>
      </c>
      <c r="E7" s="39">
        <f t="shared" si="0"/>
        <v>0</v>
      </c>
    </row>
    <row r="8" spans="1:5" x14ac:dyDescent="0.35">
      <c r="A8" s="39">
        <v>4</v>
      </c>
      <c r="B8" s="20" t="s">
        <v>4</v>
      </c>
      <c r="C8" s="73">
        <f>AP!G8</f>
        <v>286</v>
      </c>
      <c r="D8" s="18">
        <f>TG!F8</f>
        <v>66</v>
      </c>
      <c r="E8" s="39">
        <f t="shared" si="0"/>
        <v>352</v>
      </c>
    </row>
    <row r="9" spans="1:5" x14ac:dyDescent="0.35">
      <c r="A9" s="39">
        <v>5</v>
      </c>
      <c r="B9" s="20" t="s">
        <v>5</v>
      </c>
      <c r="C9" s="73">
        <f>AP!G9</f>
        <v>0</v>
      </c>
      <c r="D9" s="18">
        <f>TG!F9</f>
        <v>0</v>
      </c>
      <c r="E9" s="39">
        <f t="shared" si="0"/>
        <v>0</v>
      </c>
    </row>
    <row r="10" spans="1:5" x14ac:dyDescent="0.35">
      <c r="A10" s="39">
        <v>6</v>
      </c>
      <c r="B10" s="20" t="s">
        <v>6</v>
      </c>
      <c r="C10" s="73">
        <f>AP!G10</f>
        <v>0</v>
      </c>
      <c r="D10" s="18">
        <f>TG!F10</f>
        <v>0</v>
      </c>
      <c r="E10" s="39">
        <f t="shared" si="0"/>
        <v>0</v>
      </c>
    </row>
    <row r="11" spans="1:5" x14ac:dyDescent="0.35">
      <c r="A11" s="39">
        <v>7</v>
      </c>
      <c r="B11" s="20" t="s">
        <v>32</v>
      </c>
      <c r="C11" s="73">
        <f>AP!G11</f>
        <v>0</v>
      </c>
      <c r="D11" s="18">
        <f>TG!F11</f>
        <v>0</v>
      </c>
      <c r="E11" s="39">
        <f t="shared" si="0"/>
        <v>0</v>
      </c>
    </row>
    <row r="12" spans="1:5" x14ac:dyDescent="0.35">
      <c r="A12" s="71"/>
      <c r="B12" s="74" t="s">
        <v>7</v>
      </c>
      <c r="C12" s="71"/>
      <c r="D12" s="18"/>
      <c r="E12" s="116"/>
    </row>
    <row r="13" spans="1:5" x14ac:dyDescent="0.35">
      <c r="A13" s="39">
        <v>8</v>
      </c>
      <c r="B13" s="20" t="s">
        <v>8</v>
      </c>
      <c r="C13" s="73">
        <f>AP!G13</f>
        <v>0</v>
      </c>
      <c r="D13" s="18">
        <f>TG!F13</f>
        <v>0</v>
      </c>
      <c r="E13" s="39">
        <f t="shared" si="0"/>
        <v>0</v>
      </c>
    </row>
    <row r="14" spans="1:5" x14ac:dyDescent="0.35">
      <c r="A14" s="39">
        <v>9</v>
      </c>
      <c r="B14" s="20" t="s">
        <v>9</v>
      </c>
      <c r="C14" s="73">
        <f>AP!G14</f>
        <v>0</v>
      </c>
      <c r="D14" s="18">
        <f>TG!F14</f>
        <v>0</v>
      </c>
      <c r="E14" s="39">
        <f t="shared" si="0"/>
        <v>0</v>
      </c>
    </row>
    <row r="15" spans="1:5" x14ac:dyDescent="0.35">
      <c r="A15" s="39">
        <v>10</v>
      </c>
      <c r="B15" s="20" t="s">
        <v>10</v>
      </c>
      <c r="C15" s="73">
        <f>AP!G15</f>
        <v>0</v>
      </c>
      <c r="D15" s="18">
        <f>TG!F15</f>
        <v>0</v>
      </c>
      <c r="E15" s="39">
        <f t="shared" si="0"/>
        <v>0</v>
      </c>
    </row>
    <row r="16" spans="1:5" x14ac:dyDescent="0.35">
      <c r="A16" s="39">
        <v>11</v>
      </c>
      <c r="B16" s="20" t="s">
        <v>11</v>
      </c>
      <c r="C16" s="73">
        <f>AP!G16</f>
        <v>0</v>
      </c>
      <c r="D16" s="18">
        <f>TG!F16</f>
        <v>0</v>
      </c>
      <c r="E16" s="39">
        <f t="shared" si="0"/>
        <v>0</v>
      </c>
    </row>
    <row r="17" spans="1:5" x14ac:dyDescent="0.35">
      <c r="A17" s="39">
        <v>12</v>
      </c>
      <c r="B17" s="20" t="s">
        <v>12</v>
      </c>
      <c r="C17" s="73">
        <f>AP!G17</f>
        <v>0</v>
      </c>
      <c r="D17" s="18">
        <f>TG!F17</f>
        <v>0</v>
      </c>
      <c r="E17" s="39">
        <f t="shared" si="0"/>
        <v>0</v>
      </c>
    </row>
    <row r="18" spans="1:5" x14ac:dyDescent="0.35">
      <c r="A18" s="39">
        <v>13</v>
      </c>
      <c r="B18" s="20" t="s">
        <v>13</v>
      </c>
      <c r="C18" s="73">
        <f>AP!G18</f>
        <v>0</v>
      </c>
      <c r="D18" s="18">
        <f>TG!F18</f>
        <v>0</v>
      </c>
      <c r="E18" s="39">
        <f t="shared" si="0"/>
        <v>0</v>
      </c>
    </row>
    <row r="19" spans="1:5" x14ac:dyDescent="0.35">
      <c r="A19" s="39">
        <v>14</v>
      </c>
      <c r="B19" s="20" t="s">
        <v>14</v>
      </c>
      <c r="C19" s="73">
        <f>AP!G19</f>
        <v>0</v>
      </c>
      <c r="D19" s="18">
        <f>TG!F19</f>
        <v>0</v>
      </c>
      <c r="E19" s="39">
        <f t="shared" si="0"/>
        <v>0</v>
      </c>
    </row>
    <row r="20" spans="1:5" x14ac:dyDescent="0.35">
      <c r="A20" s="39">
        <v>15</v>
      </c>
      <c r="B20" s="20" t="s">
        <v>15</v>
      </c>
      <c r="C20" s="73">
        <f>AP!G20</f>
        <v>0</v>
      </c>
      <c r="D20" s="18">
        <f>TG!F20</f>
        <v>0</v>
      </c>
      <c r="E20" s="39">
        <f t="shared" si="0"/>
        <v>0</v>
      </c>
    </row>
    <row r="21" spans="1:5" x14ac:dyDescent="0.35">
      <c r="A21" s="39">
        <v>16</v>
      </c>
      <c r="B21" s="20" t="s">
        <v>16</v>
      </c>
      <c r="C21" s="73">
        <f>AP!G21</f>
        <v>0</v>
      </c>
      <c r="D21" s="18">
        <f>TG!F21</f>
        <v>0</v>
      </c>
      <c r="E21" s="39">
        <f t="shared" si="0"/>
        <v>0</v>
      </c>
    </row>
    <row r="22" spans="1:5" x14ac:dyDescent="0.35">
      <c r="A22" s="39">
        <v>17</v>
      </c>
      <c r="B22" s="20" t="s">
        <v>17</v>
      </c>
      <c r="C22" s="73">
        <f>AP!G22</f>
        <v>0</v>
      </c>
      <c r="D22" s="18">
        <f>TG!F22</f>
        <v>0</v>
      </c>
      <c r="E22" s="39">
        <f t="shared" si="0"/>
        <v>0</v>
      </c>
    </row>
    <row r="23" spans="1:5" x14ac:dyDescent="0.35">
      <c r="A23" s="39">
        <v>18</v>
      </c>
      <c r="B23" s="20" t="s">
        <v>18</v>
      </c>
      <c r="C23" s="73">
        <f>AP!G23</f>
        <v>0</v>
      </c>
      <c r="D23" s="18">
        <f>TG!F23</f>
        <v>0</v>
      </c>
      <c r="E23" s="39">
        <f t="shared" si="0"/>
        <v>0</v>
      </c>
    </row>
    <row r="24" spans="1:5" x14ac:dyDescent="0.35">
      <c r="A24" s="39">
        <v>19</v>
      </c>
      <c r="B24" s="20" t="s">
        <v>19</v>
      </c>
      <c r="C24" s="73">
        <f>AP!G24</f>
        <v>0</v>
      </c>
      <c r="D24" s="18">
        <f>TG!F24</f>
        <v>0</v>
      </c>
      <c r="E24" s="39">
        <f t="shared" si="0"/>
        <v>0</v>
      </c>
    </row>
    <row r="25" spans="1:5" x14ac:dyDescent="0.35">
      <c r="A25" s="39">
        <v>20</v>
      </c>
      <c r="B25" s="20" t="s">
        <v>20</v>
      </c>
      <c r="C25" s="73">
        <f>AP!G25</f>
        <v>21</v>
      </c>
      <c r="D25" s="18">
        <f>TG!F25</f>
        <v>0</v>
      </c>
      <c r="E25" s="39">
        <f t="shared" si="0"/>
        <v>21</v>
      </c>
    </row>
    <row r="26" spans="1:5" x14ac:dyDescent="0.35">
      <c r="A26" s="39">
        <v>21</v>
      </c>
      <c r="B26" s="20" t="s">
        <v>38</v>
      </c>
      <c r="C26" s="73">
        <f>AP!G26</f>
        <v>139</v>
      </c>
      <c r="D26" s="18">
        <f>TG!F26</f>
        <v>20</v>
      </c>
      <c r="E26" s="39">
        <f t="shared" si="0"/>
        <v>159</v>
      </c>
    </row>
    <row r="27" spans="1:5" x14ac:dyDescent="0.35">
      <c r="A27" s="71"/>
      <c r="B27" s="74" t="s">
        <v>21</v>
      </c>
      <c r="C27" s="71"/>
      <c r="D27" s="18"/>
      <c r="E27" s="116"/>
    </row>
    <row r="28" spans="1:5" x14ac:dyDescent="0.35">
      <c r="A28" s="39">
        <v>22</v>
      </c>
      <c r="B28" s="20" t="s">
        <v>48</v>
      </c>
      <c r="C28" s="73">
        <f>AP!G28</f>
        <v>0</v>
      </c>
      <c r="D28" s="18">
        <f>TG!F28</f>
        <v>1</v>
      </c>
      <c r="E28" s="39">
        <f t="shared" si="0"/>
        <v>1</v>
      </c>
    </row>
    <row r="29" spans="1:5" x14ac:dyDescent="0.35">
      <c r="A29" s="39">
        <v>23</v>
      </c>
      <c r="B29" s="20" t="s">
        <v>49</v>
      </c>
      <c r="C29" s="73">
        <f>AP!G29</f>
        <v>0</v>
      </c>
      <c r="D29" s="18">
        <f>TG!F29</f>
        <v>4</v>
      </c>
      <c r="E29" s="39">
        <f t="shared" si="0"/>
        <v>4</v>
      </c>
    </row>
    <row r="30" spans="1:5" x14ac:dyDescent="0.35">
      <c r="A30" s="39">
        <v>24</v>
      </c>
      <c r="B30" s="20" t="s">
        <v>42</v>
      </c>
      <c r="C30" s="73">
        <f>AP!G30</f>
        <v>0</v>
      </c>
      <c r="D30" s="18">
        <f>TG!F30</f>
        <v>0</v>
      </c>
      <c r="E30" s="39">
        <f t="shared" si="0"/>
        <v>0</v>
      </c>
    </row>
    <row r="31" spans="1:5" ht="29" x14ac:dyDescent="0.35">
      <c r="A31" s="39">
        <v>25</v>
      </c>
      <c r="B31" s="53" t="s">
        <v>50</v>
      </c>
      <c r="C31" s="102">
        <f>AP!G31</f>
        <v>15</v>
      </c>
      <c r="D31" s="1">
        <f>TG!F31</f>
        <v>0</v>
      </c>
      <c r="E31" s="39">
        <f t="shared" si="0"/>
        <v>15</v>
      </c>
    </row>
    <row r="32" spans="1:5" ht="29" x14ac:dyDescent="0.35">
      <c r="A32" s="39">
        <v>26</v>
      </c>
      <c r="B32" s="20" t="s">
        <v>51</v>
      </c>
      <c r="C32" s="102">
        <f>AP!G32</f>
        <v>37</v>
      </c>
      <c r="D32" s="18">
        <f>TG!F32</f>
        <v>0</v>
      </c>
      <c r="E32" s="39">
        <f t="shared" si="0"/>
        <v>37</v>
      </c>
    </row>
    <row r="33" spans="1:5" x14ac:dyDescent="0.35">
      <c r="A33" s="39">
        <v>27</v>
      </c>
      <c r="B33" s="20" t="s">
        <v>46</v>
      </c>
      <c r="C33" s="73">
        <f>AP!G33</f>
        <v>0</v>
      </c>
      <c r="D33" s="18">
        <f>TG!F33</f>
        <v>0</v>
      </c>
      <c r="E33" s="39">
        <f t="shared" si="0"/>
        <v>0</v>
      </c>
    </row>
    <row r="34" spans="1:5" x14ac:dyDescent="0.35">
      <c r="A34" s="39">
        <v>28</v>
      </c>
      <c r="B34" s="20" t="s">
        <v>47</v>
      </c>
      <c r="C34" s="73">
        <f>AP!G34</f>
        <v>0</v>
      </c>
      <c r="D34" s="18">
        <f>TG!F34</f>
        <v>0</v>
      </c>
      <c r="E34" s="39">
        <f t="shared" si="0"/>
        <v>0</v>
      </c>
    </row>
    <row r="35" spans="1:5" x14ac:dyDescent="0.35">
      <c r="A35" s="39">
        <v>29</v>
      </c>
      <c r="B35" s="20" t="s">
        <v>22</v>
      </c>
      <c r="C35" s="73">
        <f>AP!G35</f>
        <v>27</v>
      </c>
      <c r="D35" s="18">
        <f>TG!F35</f>
        <v>0</v>
      </c>
      <c r="E35" s="39">
        <f t="shared" si="0"/>
        <v>27</v>
      </c>
    </row>
    <row r="36" spans="1:5" x14ac:dyDescent="0.35">
      <c r="A36" s="39">
        <v>30</v>
      </c>
      <c r="B36" s="20" t="s">
        <v>23</v>
      </c>
      <c r="C36" s="73">
        <f>AP!G36</f>
        <v>203</v>
      </c>
      <c r="D36" s="18">
        <f>TG!F36</f>
        <v>4</v>
      </c>
      <c r="E36" s="39">
        <f t="shared" si="0"/>
        <v>207</v>
      </c>
    </row>
    <row r="37" spans="1:5" x14ac:dyDescent="0.35">
      <c r="A37" s="39">
        <v>31</v>
      </c>
      <c r="B37" s="20" t="s">
        <v>24</v>
      </c>
      <c r="C37" s="73">
        <f>AP!G37</f>
        <v>46</v>
      </c>
      <c r="D37" s="18">
        <f>TG!F37</f>
        <v>0</v>
      </c>
      <c r="E37" s="39">
        <f t="shared" si="0"/>
        <v>46</v>
      </c>
    </row>
    <row r="38" spans="1:5" x14ac:dyDescent="0.35">
      <c r="A38" s="39">
        <v>32</v>
      </c>
      <c r="B38" s="20" t="s">
        <v>37</v>
      </c>
      <c r="C38" s="73">
        <f>AP!G38</f>
        <v>6</v>
      </c>
      <c r="D38" s="18">
        <f>TG!F38</f>
        <v>2</v>
      </c>
      <c r="E38" s="39">
        <f t="shared" si="0"/>
        <v>8</v>
      </c>
    </row>
    <row r="39" spans="1:5" x14ac:dyDescent="0.35">
      <c r="A39" s="39">
        <v>33</v>
      </c>
      <c r="B39" s="20" t="s">
        <v>25</v>
      </c>
      <c r="C39" s="73">
        <f>AP!G39</f>
        <v>0</v>
      </c>
      <c r="D39" s="18">
        <f>TG!F39</f>
        <v>0</v>
      </c>
      <c r="E39" s="39">
        <f t="shared" si="0"/>
        <v>0</v>
      </c>
    </row>
    <row r="40" spans="1:5" x14ac:dyDescent="0.35">
      <c r="A40" s="39">
        <v>34</v>
      </c>
      <c r="B40" s="20" t="s">
        <v>39</v>
      </c>
      <c r="C40" s="73">
        <f>AP!G40</f>
        <v>17</v>
      </c>
      <c r="D40" s="18">
        <f>TG!F40</f>
        <v>1</v>
      </c>
      <c r="E40" s="39">
        <f t="shared" si="0"/>
        <v>18</v>
      </c>
    </row>
    <row r="41" spans="1:5" x14ac:dyDescent="0.35">
      <c r="A41" s="39">
        <v>35</v>
      </c>
      <c r="B41" s="20" t="s">
        <v>26</v>
      </c>
      <c r="C41" s="73">
        <f>AP!G41</f>
        <v>2</v>
      </c>
      <c r="D41" s="18">
        <f>TG!F41</f>
        <v>0</v>
      </c>
      <c r="E41" s="39">
        <f t="shared" si="0"/>
        <v>2</v>
      </c>
    </row>
    <row r="42" spans="1:5" x14ac:dyDescent="0.35">
      <c r="A42" s="39">
        <v>36</v>
      </c>
      <c r="B42" s="20" t="s">
        <v>43</v>
      </c>
      <c r="C42" s="73">
        <f>AP!G42</f>
        <v>3</v>
      </c>
      <c r="D42" s="18">
        <f>TG!F42</f>
        <v>0</v>
      </c>
      <c r="E42" s="39">
        <f t="shared" si="0"/>
        <v>3</v>
      </c>
    </row>
    <row r="43" spans="1:5" x14ac:dyDescent="0.35">
      <c r="A43" s="71"/>
      <c r="B43" s="74" t="s">
        <v>27</v>
      </c>
      <c r="C43" s="75"/>
      <c r="D43" s="18"/>
      <c r="E43" s="18"/>
    </row>
    <row r="44" spans="1:5" x14ac:dyDescent="0.35">
      <c r="A44" s="39">
        <v>37</v>
      </c>
      <c r="B44" s="20" t="s">
        <v>28</v>
      </c>
      <c r="C44" s="73">
        <f>AP!G44</f>
        <v>154</v>
      </c>
      <c r="D44" s="18">
        <f>TG!F44</f>
        <v>5</v>
      </c>
      <c r="E44" s="39">
        <f t="shared" si="0"/>
        <v>159</v>
      </c>
    </row>
    <row r="45" spans="1:5" x14ac:dyDescent="0.35">
      <c r="A45" s="39">
        <v>38</v>
      </c>
      <c r="B45" s="20" t="s">
        <v>52</v>
      </c>
      <c r="C45" s="73" t="s">
        <v>165</v>
      </c>
      <c r="D45" s="18">
        <f>TG!F45</f>
        <v>1</v>
      </c>
      <c r="E45" s="39" t="s">
        <v>166</v>
      </c>
    </row>
    <row r="46" spans="1:5" x14ac:dyDescent="0.35">
      <c r="A46" s="39">
        <v>39</v>
      </c>
      <c r="B46" s="20" t="s">
        <v>40</v>
      </c>
      <c r="C46" s="73">
        <f>AP!G46</f>
        <v>81</v>
      </c>
      <c r="D46" s="18">
        <f>TG!F46</f>
        <v>5</v>
      </c>
      <c r="E46" s="39">
        <f t="shared" si="0"/>
        <v>86</v>
      </c>
    </row>
    <row r="47" spans="1:5" x14ac:dyDescent="0.35">
      <c r="A47" s="39">
        <v>40</v>
      </c>
      <c r="B47" s="20" t="s">
        <v>41</v>
      </c>
      <c r="C47" s="73">
        <f>AP!G47</f>
        <v>1308</v>
      </c>
      <c r="D47" s="18">
        <f>TG!F47</f>
        <v>131</v>
      </c>
      <c r="E47" s="39">
        <f t="shared" si="0"/>
        <v>1439</v>
      </c>
    </row>
    <row r="48" spans="1:5" x14ac:dyDescent="0.35">
      <c r="A48" s="39">
        <v>41</v>
      </c>
      <c r="B48" s="20" t="s">
        <v>33</v>
      </c>
      <c r="C48" s="73">
        <f>AP!G48</f>
        <v>4</v>
      </c>
      <c r="D48" s="18">
        <f>TG!F48</f>
        <v>0</v>
      </c>
      <c r="E48" s="39">
        <f t="shared" si="0"/>
        <v>4</v>
      </c>
    </row>
    <row r="49" spans="1:5" x14ac:dyDescent="0.35">
      <c r="A49" s="39">
        <v>42</v>
      </c>
      <c r="B49" s="20" t="s">
        <v>53</v>
      </c>
      <c r="C49" s="73">
        <f>AP!G49</f>
        <v>4</v>
      </c>
      <c r="D49" s="18">
        <f>TG!F49</f>
        <v>0</v>
      </c>
      <c r="E49" s="39">
        <f t="shared" si="0"/>
        <v>4</v>
      </c>
    </row>
    <row r="50" spans="1:5" x14ac:dyDescent="0.35">
      <c r="A50" s="39">
        <v>43</v>
      </c>
      <c r="B50" s="20" t="s">
        <v>34</v>
      </c>
      <c r="C50" s="73">
        <f>AP!G50</f>
        <v>130</v>
      </c>
      <c r="D50" s="18">
        <f>TG!F50</f>
        <v>7</v>
      </c>
      <c r="E50" s="39">
        <f t="shared" si="0"/>
        <v>137</v>
      </c>
    </row>
    <row r="51" spans="1:5" x14ac:dyDescent="0.35">
      <c r="A51" s="39">
        <v>44</v>
      </c>
      <c r="B51" s="20" t="s">
        <v>135</v>
      </c>
      <c r="C51" s="73">
        <f>AP!G51</f>
        <v>83</v>
      </c>
      <c r="D51" s="18">
        <f>TG!F51</f>
        <v>7</v>
      </c>
      <c r="E51" s="39">
        <f t="shared" si="0"/>
        <v>90</v>
      </c>
    </row>
    <row r="52" spans="1:5" x14ac:dyDescent="0.35">
      <c r="A52" s="39">
        <v>45</v>
      </c>
      <c r="B52" s="20" t="s">
        <v>54</v>
      </c>
      <c r="C52" s="73">
        <f>AP!G52</f>
        <v>1300</v>
      </c>
      <c r="D52" s="18">
        <f>TG!F52</f>
        <v>59</v>
      </c>
      <c r="E52" s="39">
        <f t="shared" si="0"/>
        <v>1359</v>
      </c>
    </row>
    <row r="53" spans="1:5" x14ac:dyDescent="0.35">
      <c r="A53" s="71"/>
      <c r="B53" s="74" t="s">
        <v>29</v>
      </c>
      <c r="C53" s="75"/>
      <c r="D53" s="18"/>
      <c r="E53" s="18"/>
    </row>
    <row r="54" spans="1:5" x14ac:dyDescent="0.35">
      <c r="A54" s="39">
        <v>46</v>
      </c>
      <c r="B54" s="20" t="s">
        <v>30</v>
      </c>
      <c r="C54" s="73">
        <f>AP!G54</f>
        <v>1185</v>
      </c>
      <c r="D54" s="18">
        <f>TG!F54</f>
        <v>424</v>
      </c>
      <c r="E54" s="39">
        <f t="shared" si="0"/>
        <v>1609</v>
      </c>
    </row>
    <row r="55" spans="1:5" x14ac:dyDescent="0.35">
      <c r="A55" s="72"/>
      <c r="B55" s="47" t="s">
        <v>31</v>
      </c>
      <c r="C55" s="75"/>
      <c r="D55" s="18"/>
      <c r="E55" s="18"/>
    </row>
    <row r="56" spans="1:5" x14ac:dyDescent="0.35">
      <c r="A56" s="39">
        <v>47</v>
      </c>
      <c r="B56" s="20" t="s">
        <v>35</v>
      </c>
      <c r="C56" s="73">
        <f>AP!G56</f>
        <v>12</v>
      </c>
      <c r="D56" s="18">
        <f>TG!F56</f>
        <v>6</v>
      </c>
      <c r="E56" s="39">
        <f t="shared" si="0"/>
        <v>18</v>
      </c>
    </row>
    <row r="57" spans="1:5" x14ac:dyDescent="0.35">
      <c r="A57" s="39">
        <v>48</v>
      </c>
      <c r="B57" s="20" t="s">
        <v>36</v>
      </c>
      <c r="C57" s="73">
        <f>AP!G57</f>
        <v>14</v>
      </c>
      <c r="D57" s="18">
        <f>TG!F57</f>
        <v>0</v>
      </c>
      <c r="E57" s="39">
        <f t="shared" si="0"/>
        <v>14</v>
      </c>
    </row>
    <row r="58" spans="1:5" x14ac:dyDescent="0.35">
      <c r="A58" s="18"/>
      <c r="B58" s="29"/>
      <c r="C58" s="18"/>
      <c r="D58" s="18"/>
      <c r="E58" s="18"/>
    </row>
    <row r="59" spans="1:5" x14ac:dyDescent="0.35">
      <c r="A59" s="18"/>
      <c r="B59" s="33"/>
      <c r="C59" s="73"/>
      <c r="D59" s="18"/>
      <c r="E59" s="39"/>
    </row>
    <row r="60" spans="1:5" x14ac:dyDescent="0.35">
      <c r="A60" s="18"/>
      <c r="B60" s="33"/>
      <c r="C60" s="73"/>
      <c r="D60" s="18"/>
      <c r="E60" s="39"/>
    </row>
    <row r="61" spans="1:5" x14ac:dyDescent="0.35">
      <c r="A61" s="18"/>
      <c r="B61" s="33"/>
      <c r="C61" s="73"/>
      <c r="D61" s="18"/>
      <c r="E61" s="39"/>
    </row>
    <row r="62" spans="1:5" x14ac:dyDescent="0.35">
      <c r="A62" s="18"/>
      <c r="B62" s="33"/>
      <c r="C62" s="73"/>
      <c r="D62" s="18"/>
      <c r="E62" s="39"/>
    </row>
    <row r="63" spans="1:5" x14ac:dyDescent="0.35">
      <c r="A63" s="18"/>
      <c r="B63" s="33"/>
      <c r="C63" s="73"/>
      <c r="D63" s="18"/>
      <c r="E63" s="39"/>
    </row>
    <row r="64" spans="1:5" x14ac:dyDescent="0.35">
      <c r="A64" s="18"/>
      <c r="B64" s="33"/>
      <c r="C64" s="73"/>
      <c r="D64" s="18"/>
      <c r="E64" s="39"/>
    </row>
    <row r="65" spans="1:5" x14ac:dyDescent="0.35">
      <c r="A65" s="18"/>
      <c r="B65" s="33"/>
      <c r="C65" s="73"/>
      <c r="D65" s="18"/>
      <c r="E65" s="39"/>
    </row>
    <row r="66" spans="1:5" x14ac:dyDescent="0.35">
      <c r="A66" s="18"/>
      <c r="B66" s="33"/>
      <c r="C66" s="73"/>
      <c r="D66" s="18"/>
      <c r="E66" s="39"/>
    </row>
    <row r="67" spans="1:5" x14ac:dyDescent="0.35">
      <c r="A67" s="18"/>
      <c r="B67" s="33"/>
      <c r="C67" s="73"/>
      <c r="D67" s="18"/>
      <c r="E67" s="39"/>
    </row>
    <row r="68" spans="1:5" x14ac:dyDescent="0.35">
      <c r="A68" s="18"/>
      <c r="B68" s="33"/>
      <c r="C68" s="73"/>
      <c r="D68" s="18"/>
      <c r="E68" s="39"/>
    </row>
    <row r="69" spans="1:5" x14ac:dyDescent="0.35">
      <c r="A69" s="18"/>
      <c r="B69" s="33"/>
      <c r="C69" s="73"/>
      <c r="D69" s="18"/>
      <c r="E69" s="39"/>
    </row>
    <row r="70" spans="1:5" x14ac:dyDescent="0.35">
      <c r="A70" s="18"/>
      <c r="B70" s="33"/>
      <c r="C70" s="73"/>
      <c r="D70" s="18"/>
      <c r="E70" s="39"/>
    </row>
  </sheetData>
  <mergeCells count="3">
    <mergeCell ref="A1:E1"/>
    <mergeCell ref="A2:E2"/>
    <mergeCell ref="C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PRAGATHI</vt:lpstr>
      <vt:lpstr>SRAMA</vt:lpstr>
      <vt:lpstr>KDDI</vt:lpstr>
      <vt:lpstr>PORD</vt:lpstr>
      <vt:lpstr>AP</vt:lpstr>
      <vt:lpstr>EFFORT KMM</vt:lpstr>
      <vt:lpstr>EFFORT</vt:lpstr>
      <vt:lpstr>MDDI</vt:lpstr>
      <vt:lpstr>TG</vt:lpstr>
      <vt:lpstr>APTG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2025-06-11T12:36:48Z</dcterms:modified>
</cp:coreProperties>
</file>