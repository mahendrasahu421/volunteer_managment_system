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e Ahmednagar" sheetId="1" r:id="rId4"/>
    <sheet state="visible" name="birds eye view" sheetId="2" r:id="rId5"/>
    <sheet state="visible" name="cry cost" sheetId="3" r:id="rId6"/>
    <sheet state="visible" name="prog cost" sheetId="4" r:id="rId7"/>
  </sheets>
  <definedNames/>
  <calcPr/>
</workbook>
</file>

<file path=xl/sharedStrings.xml><?xml version="1.0" encoding="utf-8"?>
<sst xmlns="http://schemas.openxmlformats.org/spreadsheetml/2006/main" count="202" uniqueCount="100">
  <si>
    <t>Q1 BUDGET vs ACTUALS</t>
  </si>
  <si>
    <t>QUARTER 2 BUDGETS vs ACTUALS</t>
  </si>
  <si>
    <t>QUARTER 3 BUDGETS vs ACTUALS</t>
  </si>
  <si>
    <t>QUARTER 4 BUDGETS vs ACTUALS</t>
  </si>
  <si>
    <t>Sl. No</t>
  </si>
  <si>
    <t>PARTICULARS</t>
  </si>
  <si>
    <t>APR'24</t>
  </si>
  <si>
    <t>MAY'24</t>
  </si>
  <si>
    <t>JUN'24</t>
  </si>
  <si>
    <t>ALLOTMENT</t>
  </si>
  <si>
    <t>ACTUALS</t>
  </si>
  <si>
    <t>VARIANCE</t>
  </si>
  <si>
    <t>JUL'24</t>
  </si>
  <si>
    <t>AUG'24</t>
  </si>
  <si>
    <t>SEP'24</t>
  </si>
  <si>
    <t>OCT'24</t>
  </si>
  <si>
    <t>NOV'24</t>
  </si>
  <si>
    <t>DEC'24</t>
  </si>
  <si>
    <t>JAN'24</t>
  </si>
  <si>
    <t>FEB'24</t>
  </si>
  <si>
    <t>MAR'24</t>
  </si>
  <si>
    <t>TOTAL ALLOTMENT</t>
  </si>
  <si>
    <t xml:space="preserve">TOTAL UTILISATION </t>
  </si>
  <si>
    <t>TOTAL VARIANCE</t>
  </si>
  <si>
    <t>A</t>
  </si>
  <si>
    <t>Ensuring Retention of children in School and Zero Dropouts</t>
  </si>
  <si>
    <t>Allotment</t>
  </si>
  <si>
    <t>Actuals</t>
  </si>
  <si>
    <t>Consultant for Project Lead</t>
  </si>
  <si>
    <t>Center Equipment Repair and Maintenance</t>
  </si>
  <si>
    <t>Program support (OM)</t>
  </si>
  <si>
    <t>Total of A</t>
  </si>
  <si>
    <t>B</t>
  </si>
  <si>
    <t>Supplementary Education Program – 14 Centers</t>
  </si>
  <si>
    <t>ACI honorarium Level 1</t>
  </si>
  <si>
    <t>ACI honorarium Level 2</t>
  </si>
  <si>
    <t>Center maintainence</t>
  </si>
  <si>
    <t>Consulatant for Project Coordinator -Level 1</t>
  </si>
  <si>
    <t>Consulatant for Project Coordinator -Level 2</t>
  </si>
  <si>
    <t>Branding and communication</t>
  </si>
  <si>
    <t>Total of B</t>
  </si>
  <si>
    <t>C</t>
  </si>
  <si>
    <t>Enable life skills for Children in Pune and Ahmednagar</t>
  </si>
  <si>
    <t>LSE sessions for adolescents</t>
  </si>
  <si>
    <t>Monthly meeting for field ACI and all Consultants</t>
  </si>
  <si>
    <t>Consultant for Project Accountant</t>
  </si>
  <si>
    <t>(Center 6 six Month recharge after August 2024)</t>
  </si>
  <si>
    <t>Total of C</t>
  </si>
  <si>
    <t>D</t>
  </si>
  <si>
    <t>Mitigate Child Labour and Child Marriage incidence</t>
  </si>
  <si>
    <t>District level stakeholders dialogue on mitigate child labour and child Marriage</t>
  </si>
  <si>
    <t>Consulatant for Community Organizers - Level 2</t>
  </si>
  <si>
    <t xml:space="preserve">Field Program Support
</t>
  </si>
  <si>
    <t xml:space="preserve">Publication and periodicals. 
</t>
  </si>
  <si>
    <t>Total of D</t>
  </si>
  <si>
    <t>E</t>
  </si>
  <si>
    <t>Transition from primary to Upper Primary to high school</t>
  </si>
  <si>
    <t>Consulatant for Community Organizers - Level 1</t>
  </si>
  <si>
    <t>Field Office Rent (Inculding elecricity)</t>
  </si>
  <si>
    <t>VCPC &amp; SMC traning</t>
  </si>
  <si>
    <t>CB of Jati Panchayat/ CBO/ Community Cedar on Education, and Protection issues</t>
  </si>
  <si>
    <t>Support for NIOS &amp; YCMOU Admission (Facilitator Part time/fee/material/any other)</t>
  </si>
  <si>
    <t>Total of E</t>
  </si>
  <si>
    <t>F</t>
  </si>
  <si>
    <t>Establish 1 Tinkering Lab in Pune and 1 STEM Center in 
 Ahmednagar and organizing awareness programs</t>
  </si>
  <si>
    <t>G</t>
  </si>
  <si>
    <t>Project Management and Execution Expenses</t>
  </si>
  <si>
    <t>TOTAL OF GRANT</t>
  </si>
  <si>
    <t>Objective</t>
  </si>
  <si>
    <t>Total Activity Cost (in '000)</t>
  </si>
  <si>
    <t>Budget Utilised (in '000)</t>
  </si>
  <si>
    <t>Budget Variance (in '000)</t>
  </si>
  <si>
    <t>Utilisation %</t>
  </si>
  <si>
    <t>Unused %</t>
  </si>
  <si>
    <t>₹ 4.50</t>
  </si>
  <si>
    <t>₹ -43.94</t>
  </si>
  <si>
    <t>₹ -0.85</t>
  </si>
  <si>
    <t>₹ 58.34</t>
  </si>
  <si>
    <t>₹ -41.32</t>
  </si>
  <si>
    <t>₹ 0.00</t>
  </si>
  <si>
    <t>TOTAL</t>
  </si>
  <si>
    <t>₹ -20.36</t>
  </si>
  <si>
    <t>Q1 ALLOTMENT</t>
  </si>
  <si>
    <t>Q2 ALLOTMENT</t>
  </si>
  <si>
    <t>Q3 ALLOTMENT</t>
  </si>
  <si>
    <t>Q4 ALLOTMENT</t>
  </si>
  <si>
    <t>Q1</t>
  </si>
  <si>
    <t>Q2</t>
  </si>
  <si>
    <t>Q3</t>
  </si>
  <si>
    <t>Q4</t>
  </si>
  <si>
    <t>ALLOTMENTS</t>
  </si>
  <si>
    <t xml:space="preserve">UTILISATION </t>
  </si>
  <si>
    <t>-</t>
  </si>
  <si>
    <t xml:space="preserve">Center Maintainance </t>
  </si>
  <si>
    <t>TOTAL COST</t>
  </si>
  <si>
    <t>total actual</t>
  </si>
  <si>
    <t>total allotment</t>
  </si>
  <si>
    <t>total variance</t>
  </si>
  <si>
    <t>HR COST</t>
  </si>
  <si>
    <t>Total HR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</si>
</sst>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rgb="FF000000"/>
      <name val="Calibri"/>
    </font>
    <font>
      <sz val="9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sz val="12.0"/>
      <color rgb="FF000000"/>
      <name val="Calibri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sz val="10.0"/>
      <color rgb="FF000000"/>
      <name val="Calibri"/>
    </font>
    <font>
      <b/>
      <sz val="11.0"/>
      <color theme="1"/>
      <name val="Calibri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readingOrder="0" shrinkToFit="0" vertical="top" wrapText="0"/>
    </xf>
    <xf borderId="0" fillId="2" fontId="4" numFmtId="0" xfId="0" applyAlignment="1" applyFont="1">
      <alignment vertical="bottom"/>
    </xf>
    <xf borderId="0" fillId="2" fontId="1" numFmtId="0" xfId="0" applyAlignment="1" applyFont="1">
      <alignment vertical="bottom"/>
    </xf>
    <xf borderId="1" fillId="3" fontId="5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" fillId="0" fontId="6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vertical="bottom"/>
    </xf>
    <xf borderId="2" fillId="0" fontId="6" numFmtId="3" xfId="0" applyAlignment="1" applyBorder="1" applyFont="1" applyNumberFormat="1">
      <alignment horizontal="center" readingOrder="0"/>
    </xf>
    <xf borderId="0" fillId="0" fontId="2" numFmtId="0" xfId="0" applyFont="1"/>
    <xf borderId="0" fillId="0" fontId="2" numFmtId="3" xfId="0" applyFont="1" applyNumberFormat="1"/>
    <xf borderId="1" fillId="0" fontId="7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5" numFmtId="3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2" numFmtId="3" xfId="0" applyAlignment="1" applyFont="1" applyNumberFormat="1">
      <alignment readingOrder="0"/>
    </xf>
    <xf borderId="2" fillId="0" fontId="5" numFmtId="3" xfId="0" applyAlignment="1" applyBorder="1" applyFont="1" applyNumberFormat="1">
      <alignment horizontal="center" readingOrder="0"/>
    </xf>
    <xf borderId="0" fillId="4" fontId="8" numFmtId="0" xfId="0" applyFill="1" applyFont="1"/>
    <xf borderId="0" fillId="4" fontId="2" numFmtId="3" xfId="0" applyFont="1" applyNumberFormat="1"/>
    <xf borderId="0" fillId="0" fontId="9" numFmtId="0" xfId="0" applyFont="1"/>
    <xf borderId="0" fillId="0" fontId="9" numFmtId="3" xfId="0" applyFont="1" applyNumberFormat="1"/>
    <xf borderId="0" fillId="5" fontId="2" numFmtId="0" xfId="0" applyFill="1" applyFont="1"/>
    <xf borderId="1" fillId="3" fontId="7" numFmtId="0" xfId="0" applyAlignment="1" applyBorder="1" applyFont="1">
      <alignment horizontal="left" readingOrder="0" shrinkToFit="0" vertical="top" wrapText="0"/>
    </xf>
    <xf borderId="1" fillId="6" fontId="10" numFmtId="0" xfId="0" applyAlignment="1" applyBorder="1" applyFill="1" applyFont="1">
      <alignment horizontal="center" readingOrder="0"/>
    </xf>
    <xf borderId="0" fillId="6" fontId="2" numFmtId="0" xfId="0" applyFont="1"/>
    <xf borderId="1" fillId="0" fontId="10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left" readingOrder="0" vertical="top"/>
    </xf>
    <xf borderId="1" fillId="3" fontId="7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1" fillId="2" fontId="5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1" fillId="0" fontId="5" numFmtId="3" xfId="0" applyAlignment="1" applyBorder="1" applyFont="1" applyNumberFormat="1">
      <alignment horizontal="center" vertical="bottom"/>
    </xf>
    <xf borderId="0" fillId="4" fontId="1" numFmtId="0" xfId="0" applyAlignment="1" applyFont="1">
      <alignment horizontal="right" vertical="bottom"/>
    </xf>
    <xf borderId="1" fillId="4" fontId="1" numFmtId="3" xfId="0" applyAlignment="1" applyBorder="1" applyFont="1" applyNumberFormat="1">
      <alignment horizontal="center" vertical="bottom"/>
    </xf>
    <xf borderId="0" fillId="6" fontId="1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top"/>
    </xf>
    <xf borderId="0" fillId="0" fontId="11" numFmtId="3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3" xfId="0" applyAlignment="1" applyFont="1" applyNumberFormat="1">
      <alignment horizontal="right" vertical="bottom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/>
    </xf>
    <xf borderId="3" fillId="0" fontId="5" numFmtId="3" xfId="0" applyAlignment="1" applyBorder="1" applyFont="1" applyNumberFormat="1">
      <alignment horizontal="center" readingOrder="0"/>
    </xf>
    <xf borderId="1" fillId="0" fontId="10" numFmtId="3" xfId="0" applyAlignment="1" applyBorder="1" applyFont="1" applyNumberFormat="1">
      <alignment horizontal="center" readingOrder="0"/>
    </xf>
    <xf borderId="4" fillId="0" fontId="5" numFmtId="3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1" fillId="0" fontId="10" numFmtId="0" xfId="0" applyAlignment="1" applyBorder="1" applyFont="1">
      <alignment horizontal="center" vertical="bottom"/>
    </xf>
    <xf borderId="1" fillId="0" fontId="5" numFmtId="3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2" fontId="12" numFmtId="0" xfId="0" applyAlignment="1" applyBorder="1" applyFont="1">
      <alignment readingOrder="0" shrinkToFit="0" vertical="top" wrapText="0"/>
    </xf>
    <xf borderId="0" fillId="6" fontId="2" numFmtId="0" xfId="0" applyAlignment="1" applyFont="1">
      <alignment readingOrder="0"/>
    </xf>
    <xf borderId="1" fillId="6" fontId="13" numFmtId="0" xfId="0" applyAlignment="1" applyBorder="1" applyFont="1">
      <alignment horizontal="center" readingOrder="0"/>
    </xf>
    <xf borderId="1" fillId="6" fontId="10" numFmtId="3" xfId="0" applyAlignment="1" applyBorder="1" applyFont="1" applyNumberFormat="1">
      <alignment horizontal="center" readingOrder="0"/>
    </xf>
    <xf borderId="0" fillId="6" fontId="1" numFmtId="0" xfId="0" applyAlignment="1" applyFont="1">
      <alignment horizontal="right" vertical="bottom"/>
    </xf>
    <xf borderId="0" fillId="6" fontId="1" numFmtId="3" xfId="0" applyAlignment="1" applyFont="1" applyNumberFormat="1">
      <alignment horizontal="right" vertical="bottom"/>
    </xf>
    <xf borderId="3" fillId="6" fontId="10" numFmtId="0" xfId="0" applyAlignment="1" applyBorder="1" applyFont="1">
      <alignment horizontal="center" readingOrder="0"/>
    </xf>
    <xf borderId="0" fillId="6" fontId="1" numFmtId="0" xfId="0" applyAlignment="1" applyFont="1">
      <alignment horizontal="right" vertical="bottom"/>
    </xf>
    <xf borderId="0" fillId="7" fontId="2" numFmtId="0" xfId="0" applyAlignment="1" applyFill="1" applyFont="1">
      <alignment readingOrder="0"/>
    </xf>
    <xf borderId="0" fillId="7" fontId="2" numFmtId="0" xfId="0" applyFont="1"/>
    <xf borderId="1" fillId="7" fontId="10" numFmtId="0" xfId="0" applyAlignment="1" applyBorder="1" applyFont="1">
      <alignment horizontal="center" readingOrder="0"/>
    </xf>
    <xf borderId="3" fillId="7" fontId="14" numFmtId="3" xfId="0" applyAlignment="1" applyBorder="1" applyFont="1" applyNumberFormat="1">
      <alignment horizontal="center" readingOrder="0"/>
    </xf>
    <xf borderId="3" fillId="7" fontId="14" numFmtId="0" xfId="0" applyAlignment="1" applyBorder="1" applyFont="1">
      <alignment horizontal="center" readingOrder="0"/>
    </xf>
    <xf borderId="0" fillId="7" fontId="2" numFmtId="3" xfId="0" applyFont="1" applyNumberFormat="1"/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Alignment="1" applyFont="1" applyNumberFormat="1">
      <alignment readingOrder="0"/>
    </xf>
    <xf borderId="0" fillId="6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readingOrder="0" vertical="bottom"/>
    </xf>
    <xf borderId="0" fillId="3" fontId="2" numFmtId="0" xfId="0" applyAlignment="1" applyFont="1">
      <alignment readingOrder="0"/>
    </xf>
    <xf borderId="0" fillId="3" fontId="2" numFmtId="0" xfId="0" applyFont="1"/>
    <xf borderId="0" fillId="2" fontId="3" numFmtId="0" xfId="0" applyAlignment="1" applyFont="1">
      <alignment readingOrder="0" shrinkToFit="0" vertical="top" wrapText="0"/>
    </xf>
    <xf borderId="0" fillId="6" fontId="3" numFmtId="0" xfId="0" applyAlignment="1" applyFont="1">
      <alignment readingOrder="0" shrinkToFit="0" vertical="top" wrapText="0"/>
    </xf>
    <xf borderId="0" fillId="6" fontId="4" numFmtId="0" xfId="0" applyAlignment="1" applyFont="1">
      <alignment vertical="bottom"/>
    </xf>
    <xf borderId="1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0" fillId="6" fontId="5" numFmtId="0" xfId="0" applyAlignment="1" applyFont="1">
      <alignment readingOrder="0" vertical="top"/>
    </xf>
    <xf borderId="0" fillId="0" fontId="7" numFmtId="0" xfId="0" applyAlignment="1" applyFont="1">
      <alignment horizontal="left" readingOrder="0" shrinkToFit="0" vertical="top" wrapText="0"/>
    </xf>
    <xf borderId="0" fillId="6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6" fontId="7" numFmtId="0" xfId="0" applyAlignment="1" applyFont="1">
      <alignment readingOrder="0" shrinkToFit="0" vertical="top" wrapText="0"/>
    </xf>
    <xf borderId="1" fillId="8" fontId="7" numFmtId="0" xfId="0" applyAlignment="1" applyBorder="1" applyFill="1" applyFont="1">
      <alignment readingOrder="0" shrinkToFit="0" vertical="top" wrapText="0"/>
    </xf>
    <xf borderId="0" fillId="8" fontId="7" numFmtId="0" xfId="0" applyAlignment="1" applyFont="1">
      <alignment readingOrder="0" shrinkToFit="0" vertical="top" wrapText="0"/>
    </xf>
    <xf borderId="0" fillId="8" fontId="2" numFmtId="0" xfId="0" applyFont="1"/>
    <xf borderId="1" fillId="6" fontId="12" numFmtId="0" xfId="0" applyAlignment="1" applyBorder="1" applyFont="1">
      <alignment readingOrder="0" shrinkToFit="0" vertical="top" wrapText="0"/>
    </xf>
    <xf borderId="1" fillId="6" fontId="3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1524000</xdr:colOff>
      <xdr:row>13</xdr:row>
      <xdr:rowOff>-209550</xdr:rowOff>
    </xdr:from>
    <xdr:ext cx="7372350" cy="430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5.0"/>
    <col customWidth="1" min="41" max="41" width="16.63"/>
    <col customWidth="1" min="42" max="42" width="17.38"/>
    <col customWidth="1" min="43" max="43" width="16.88"/>
  </cols>
  <sheetData>
    <row r="1">
      <c r="C1" s="1" t="s">
        <v>0</v>
      </c>
      <c r="K1" s="2"/>
      <c r="L1" s="1" t="s">
        <v>1</v>
      </c>
      <c r="U1" s="2"/>
      <c r="V1" s="1" t="s">
        <v>2</v>
      </c>
      <c r="AE1" s="2"/>
      <c r="AF1" s="1" t="s">
        <v>3</v>
      </c>
    </row>
    <row r="2">
      <c r="A2" s="3" t="s">
        <v>4</v>
      </c>
      <c r="B2" s="3" t="s">
        <v>5</v>
      </c>
      <c r="C2" s="4" t="s">
        <v>6</v>
      </c>
      <c r="E2" s="4" t="s">
        <v>7</v>
      </c>
      <c r="G2" s="4" t="s">
        <v>8</v>
      </c>
      <c r="I2" s="5" t="s">
        <v>9</v>
      </c>
      <c r="J2" s="5" t="s">
        <v>10</v>
      </c>
      <c r="K2" s="5" t="s">
        <v>11</v>
      </c>
      <c r="L2" s="5"/>
      <c r="M2" s="5" t="s">
        <v>12</v>
      </c>
      <c r="O2" s="5" t="s">
        <v>13</v>
      </c>
      <c r="Q2" s="5" t="s">
        <v>14</v>
      </c>
      <c r="S2" s="5" t="s">
        <v>9</v>
      </c>
      <c r="T2" s="5" t="s">
        <v>10</v>
      </c>
      <c r="U2" s="5" t="s">
        <v>11</v>
      </c>
      <c r="V2" s="5" t="s">
        <v>15</v>
      </c>
      <c r="X2" s="5" t="s">
        <v>16</v>
      </c>
      <c r="Z2" s="5" t="s">
        <v>17</v>
      </c>
      <c r="AB2" s="5" t="s">
        <v>9</v>
      </c>
      <c r="AC2" s="5" t="s">
        <v>10</v>
      </c>
      <c r="AD2" s="5" t="s">
        <v>11</v>
      </c>
      <c r="AE2" s="5" t="s">
        <v>18</v>
      </c>
      <c r="AG2" s="5" t="s">
        <v>19</v>
      </c>
      <c r="AI2" s="5" t="s">
        <v>20</v>
      </c>
      <c r="AK2" s="5" t="s">
        <v>9</v>
      </c>
      <c r="AL2" s="5" t="s">
        <v>10</v>
      </c>
      <c r="AM2" s="5" t="s">
        <v>11</v>
      </c>
      <c r="AN2" s="6"/>
      <c r="AO2" s="3" t="s">
        <v>21</v>
      </c>
      <c r="AP2" s="3" t="s">
        <v>22</v>
      </c>
      <c r="AQ2" s="3" t="s">
        <v>23</v>
      </c>
      <c r="AR2" s="7"/>
    </row>
    <row r="3">
      <c r="A3" s="3" t="s">
        <v>24</v>
      </c>
      <c r="B3" s="8" t="s">
        <v>25</v>
      </c>
      <c r="C3" s="5" t="s">
        <v>26</v>
      </c>
      <c r="D3" s="5" t="s">
        <v>27</v>
      </c>
      <c r="E3" s="9" t="s">
        <v>26</v>
      </c>
      <c r="F3" s="5" t="s">
        <v>27</v>
      </c>
      <c r="G3" s="5" t="s">
        <v>26</v>
      </c>
      <c r="H3" s="5" t="s">
        <v>27</v>
      </c>
      <c r="L3" s="10"/>
      <c r="M3" s="10" t="s">
        <v>26</v>
      </c>
      <c r="N3" s="10" t="s">
        <v>27</v>
      </c>
      <c r="O3" s="10" t="s">
        <v>26</v>
      </c>
      <c r="P3" s="10" t="s">
        <v>27</v>
      </c>
      <c r="Q3" s="10" t="s">
        <v>26</v>
      </c>
      <c r="R3" s="10" t="s">
        <v>27</v>
      </c>
      <c r="S3" s="10"/>
      <c r="T3" s="10"/>
      <c r="U3" s="10"/>
      <c r="V3" s="10" t="s">
        <v>26</v>
      </c>
      <c r="W3" s="10" t="s">
        <v>27</v>
      </c>
      <c r="X3" s="10" t="s">
        <v>26</v>
      </c>
      <c r="Y3" s="10" t="s">
        <v>27</v>
      </c>
      <c r="Z3" s="10" t="s">
        <v>26</v>
      </c>
      <c r="AA3" s="10" t="s">
        <v>27</v>
      </c>
      <c r="AB3" s="10"/>
      <c r="AC3" s="10"/>
      <c r="AD3" s="10"/>
      <c r="AE3" s="10" t="s">
        <v>26</v>
      </c>
      <c r="AF3" s="10" t="s">
        <v>27</v>
      </c>
      <c r="AG3" s="10" t="s">
        <v>26</v>
      </c>
      <c r="AH3" s="10" t="s">
        <v>27</v>
      </c>
      <c r="AI3" s="10" t="s">
        <v>26</v>
      </c>
      <c r="AJ3" s="10" t="s">
        <v>27</v>
      </c>
      <c r="AK3" s="10"/>
      <c r="AL3" s="10"/>
      <c r="AM3" s="10"/>
      <c r="AN3" s="6"/>
      <c r="AO3" s="6"/>
      <c r="AP3" s="6"/>
      <c r="AQ3" s="6"/>
    </row>
    <row r="4">
      <c r="B4" s="11" t="s">
        <v>28</v>
      </c>
      <c r="C4" s="12">
        <v>0.0</v>
      </c>
      <c r="D4" s="12">
        <v>0.0</v>
      </c>
      <c r="E4" s="13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2"/>
      <c r="M4" s="12">
        <v>18310.0</v>
      </c>
      <c r="N4" s="12">
        <v>0.0</v>
      </c>
      <c r="O4" s="12">
        <v>18310.0</v>
      </c>
      <c r="P4" s="12">
        <v>18310.0</v>
      </c>
      <c r="Q4" s="12">
        <v>18310.0</v>
      </c>
      <c r="R4" s="12">
        <v>18310.0</v>
      </c>
      <c r="S4" s="2">
        <f t="shared" ref="S4:T4" si="1">SUM(M4+O4+Q4)</f>
        <v>54930</v>
      </c>
      <c r="T4" s="2">
        <f t="shared" si="1"/>
        <v>36620</v>
      </c>
      <c r="U4" s="2">
        <f>S4-T4</f>
        <v>18310</v>
      </c>
      <c r="V4" s="12">
        <v>18310.0</v>
      </c>
      <c r="W4" s="14">
        <v>36620.0</v>
      </c>
      <c r="X4" s="12">
        <v>18310.0</v>
      </c>
      <c r="Y4" s="12">
        <v>0.0</v>
      </c>
      <c r="Z4" s="12">
        <v>18310.0</v>
      </c>
      <c r="AA4" s="12">
        <v>36620.0</v>
      </c>
      <c r="AB4" s="2">
        <f t="shared" ref="AB4:AC4" si="2">SUM(V4+X4+Z4)</f>
        <v>54930</v>
      </c>
      <c r="AC4" s="15">
        <f t="shared" si="2"/>
        <v>73240</v>
      </c>
      <c r="AD4" s="15">
        <f>AB4-AC4</f>
        <v>-18310</v>
      </c>
      <c r="AE4" s="12">
        <v>18310.0</v>
      </c>
      <c r="AF4" s="12">
        <v>0.0</v>
      </c>
      <c r="AG4" s="12">
        <v>18310.0</v>
      </c>
      <c r="AH4" s="12">
        <v>18310.0</v>
      </c>
      <c r="AI4" s="12">
        <v>9155.0</v>
      </c>
      <c r="AJ4" s="16">
        <v>27465.0</v>
      </c>
      <c r="AK4" s="2">
        <f t="shared" ref="AK4:AL4" si="3">AE4+AG4+AI4</f>
        <v>45775</v>
      </c>
      <c r="AL4" s="15">
        <f t="shared" si="3"/>
        <v>45775</v>
      </c>
      <c r="AM4" s="12">
        <v>0.0</v>
      </c>
      <c r="AO4" s="17">
        <f>SUM(I4+S4+AB4+AK4)</f>
        <v>155635</v>
      </c>
      <c r="AP4" s="18">
        <f t="shared" ref="AP4:AP7" si="4">SUM(AL4+AC4+T4+J4)</f>
        <v>155635</v>
      </c>
      <c r="AQ4" s="7">
        <v>0.0</v>
      </c>
    </row>
    <row r="5">
      <c r="B5" s="19" t="s">
        <v>29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M5" s="7">
        <v>1900.0</v>
      </c>
      <c r="N5" s="7">
        <v>0.0</v>
      </c>
      <c r="O5" s="7">
        <v>1900.0</v>
      </c>
      <c r="P5" s="7">
        <v>0.0</v>
      </c>
      <c r="Q5" s="7">
        <v>1900.0</v>
      </c>
      <c r="R5" s="7">
        <v>0.0</v>
      </c>
      <c r="S5" s="17">
        <f t="shared" ref="S5:S6" si="5">SUM(M5+O5+Q5)</f>
        <v>5700</v>
      </c>
      <c r="T5" s="7">
        <v>0.0</v>
      </c>
      <c r="U5" s="7">
        <v>5700.0</v>
      </c>
      <c r="V5" s="7">
        <v>1900.0</v>
      </c>
      <c r="W5" s="7">
        <v>0.0</v>
      </c>
      <c r="X5" s="7">
        <v>1900.0</v>
      </c>
      <c r="Y5" s="7">
        <v>0.0</v>
      </c>
      <c r="Z5" s="7">
        <v>1900.0</v>
      </c>
      <c r="AA5" s="7">
        <v>0.0</v>
      </c>
      <c r="AB5" s="17">
        <f t="shared" ref="AB5:AB6" si="6">SUM(V5+X5+Z5)</f>
        <v>5700</v>
      </c>
      <c r="AC5" s="7">
        <v>0.0</v>
      </c>
      <c r="AD5" s="7">
        <v>5700.0</v>
      </c>
      <c r="AE5" s="7">
        <v>1900.0</v>
      </c>
      <c r="AF5" s="7">
        <v>0.0</v>
      </c>
      <c r="AG5" s="7">
        <v>1900.0</v>
      </c>
      <c r="AH5" s="7">
        <v>0.0</v>
      </c>
      <c r="AI5" s="7">
        <v>1900.0</v>
      </c>
      <c r="AJ5" s="7">
        <v>12980.0</v>
      </c>
      <c r="AK5" s="7">
        <v>5700.0</v>
      </c>
      <c r="AL5" s="7">
        <v>12980.0</v>
      </c>
      <c r="AM5" s="17">
        <f t="shared" ref="AM5:AM6" si="8">AK5-AL5</f>
        <v>-7280</v>
      </c>
      <c r="AO5" s="17">
        <f t="shared" ref="AO5:AO6" si="9">AK5+AB5+S5+I5</f>
        <v>17100</v>
      </c>
      <c r="AP5" s="17">
        <f t="shared" si="4"/>
        <v>12980</v>
      </c>
      <c r="AQ5" s="17">
        <f t="shared" ref="AQ5:AQ6" si="10">AO5-AP5</f>
        <v>4120</v>
      </c>
    </row>
    <row r="6">
      <c r="B6" s="20" t="s">
        <v>30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M6" s="7">
        <v>763.0</v>
      </c>
      <c r="N6" s="7">
        <v>0.0</v>
      </c>
      <c r="O6" s="7">
        <v>763.0</v>
      </c>
      <c r="P6" s="7">
        <v>0.0</v>
      </c>
      <c r="Q6" s="7">
        <v>763.0</v>
      </c>
      <c r="R6" s="7">
        <v>0.0</v>
      </c>
      <c r="S6" s="17">
        <f t="shared" si="5"/>
        <v>2289</v>
      </c>
      <c r="T6" s="7">
        <v>0.0</v>
      </c>
      <c r="U6" s="7">
        <v>2289.0</v>
      </c>
      <c r="V6" s="7">
        <v>763.0</v>
      </c>
      <c r="W6" s="21">
        <v>1526.0</v>
      </c>
      <c r="X6" s="7">
        <v>763.0</v>
      </c>
      <c r="Y6" s="7">
        <v>0.0</v>
      </c>
      <c r="Z6" s="7">
        <v>763.0</v>
      </c>
      <c r="AA6" s="22">
        <v>763.0</v>
      </c>
      <c r="AB6" s="17">
        <f t="shared" si="6"/>
        <v>2289</v>
      </c>
      <c r="AC6" s="18">
        <f>SUM(W6+Y6+AA6)</f>
        <v>2289</v>
      </c>
      <c r="AD6" s="18">
        <f>AB6-AC6</f>
        <v>0</v>
      </c>
      <c r="AE6" s="7">
        <v>763.0</v>
      </c>
      <c r="AF6" s="23">
        <v>2289.0</v>
      </c>
      <c r="AG6" s="7">
        <v>763.0</v>
      </c>
      <c r="AH6" s="7">
        <v>0.0</v>
      </c>
      <c r="AI6" s="7">
        <v>763.0</v>
      </c>
      <c r="AJ6" s="24">
        <v>1906.0</v>
      </c>
      <c r="AK6" s="17">
        <f t="shared" ref="AK6:AL6" si="7">SUM(AE6+AG6+AI6)</f>
        <v>2289</v>
      </c>
      <c r="AL6" s="18">
        <f t="shared" si="7"/>
        <v>4195</v>
      </c>
      <c r="AM6" s="18">
        <f t="shared" si="8"/>
        <v>-1906</v>
      </c>
      <c r="AO6" s="25">
        <f t="shared" si="9"/>
        <v>6867</v>
      </c>
      <c r="AP6" s="18">
        <f t="shared" si="4"/>
        <v>6484</v>
      </c>
      <c r="AQ6" s="26">
        <f t="shared" si="10"/>
        <v>383</v>
      </c>
    </row>
    <row r="7">
      <c r="B7" s="7" t="s">
        <v>31</v>
      </c>
      <c r="M7" s="17">
        <f t="shared" ref="M7:AM7" si="11">SUM(M4:M6)</f>
        <v>20973</v>
      </c>
      <c r="N7" s="17">
        <f t="shared" si="11"/>
        <v>0</v>
      </c>
      <c r="O7" s="17">
        <f t="shared" si="11"/>
        <v>20973</v>
      </c>
      <c r="P7" s="17">
        <f t="shared" si="11"/>
        <v>18310</v>
      </c>
      <c r="Q7" s="17">
        <f t="shared" si="11"/>
        <v>20973</v>
      </c>
      <c r="R7" s="17">
        <f t="shared" si="11"/>
        <v>18310</v>
      </c>
      <c r="S7" s="17">
        <f t="shared" si="11"/>
        <v>62919</v>
      </c>
      <c r="T7" s="17">
        <f t="shared" si="11"/>
        <v>36620</v>
      </c>
      <c r="U7" s="17">
        <f t="shared" si="11"/>
        <v>26299</v>
      </c>
      <c r="V7" s="17">
        <f t="shared" si="11"/>
        <v>20973</v>
      </c>
      <c r="W7" s="18">
        <f t="shared" si="11"/>
        <v>38146</v>
      </c>
      <c r="X7" s="17">
        <f t="shared" si="11"/>
        <v>20973</v>
      </c>
      <c r="Y7" s="17">
        <f t="shared" si="11"/>
        <v>0</v>
      </c>
      <c r="Z7" s="17">
        <f t="shared" si="11"/>
        <v>20973</v>
      </c>
      <c r="AA7" s="17">
        <f t="shared" si="11"/>
        <v>37383</v>
      </c>
      <c r="AB7" s="17">
        <f t="shared" si="11"/>
        <v>62919</v>
      </c>
      <c r="AC7" s="18">
        <f t="shared" si="11"/>
        <v>75529</v>
      </c>
      <c r="AD7" s="18">
        <f t="shared" si="11"/>
        <v>-12610</v>
      </c>
      <c r="AE7" s="17">
        <f t="shared" si="11"/>
        <v>20973</v>
      </c>
      <c r="AF7" s="17">
        <f t="shared" si="11"/>
        <v>2289</v>
      </c>
      <c r="AG7" s="17">
        <f t="shared" si="11"/>
        <v>20973</v>
      </c>
      <c r="AH7" s="17">
        <f t="shared" si="11"/>
        <v>18310</v>
      </c>
      <c r="AI7" s="17">
        <f t="shared" si="11"/>
        <v>11818</v>
      </c>
      <c r="AJ7" s="18">
        <f t="shared" si="11"/>
        <v>42351</v>
      </c>
      <c r="AK7" s="17">
        <f t="shared" si="11"/>
        <v>53764</v>
      </c>
      <c r="AL7" s="18">
        <f t="shared" si="11"/>
        <v>62950</v>
      </c>
      <c r="AM7" s="17">
        <f t="shared" si="11"/>
        <v>-9186</v>
      </c>
      <c r="AO7" s="27">
        <f>SUM(AO4:AO6)</f>
        <v>179602</v>
      </c>
      <c r="AP7" s="28">
        <f t="shared" si="4"/>
        <v>175099</v>
      </c>
      <c r="AQ7" s="27">
        <f>SUM(AQ4:AQ6)</f>
        <v>4503</v>
      </c>
    </row>
    <row r="8">
      <c r="A8" s="3" t="s">
        <v>32</v>
      </c>
      <c r="B8" s="8" t="s">
        <v>33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29"/>
    </row>
    <row r="9">
      <c r="B9" s="30" t="s">
        <v>34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M9" s="7">
        <v>54000.0</v>
      </c>
      <c r="N9" s="7">
        <v>0.0</v>
      </c>
      <c r="O9" s="7">
        <v>54000.0</v>
      </c>
      <c r="P9" s="7">
        <v>54000.0</v>
      </c>
      <c r="Q9" s="7">
        <v>54000.0</v>
      </c>
      <c r="R9" s="7">
        <v>54000.0</v>
      </c>
      <c r="S9" s="17">
        <f t="shared" ref="S9:T9" si="12">SUM(M9+O9+Q9)</f>
        <v>162000</v>
      </c>
      <c r="T9" s="17">
        <f t="shared" si="12"/>
        <v>108000</v>
      </c>
      <c r="U9" s="17">
        <f t="shared" ref="U9:U13" si="16">S9-T9</f>
        <v>54000</v>
      </c>
      <c r="V9" s="7">
        <v>54000.0</v>
      </c>
      <c r="W9" s="7">
        <v>126000.0</v>
      </c>
      <c r="X9" s="7">
        <v>54000.0</v>
      </c>
      <c r="Y9" s="7">
        <v>0.0</v>
      </c>
      <c r="Z9" s="7">
        <v>54000.0</v>
      </c>
      <c r="AA9" s="7">
        <v>126000.0</v>
      </c>
      <c r="AB9" s="17">
        <f t="shared" ref="AB9:AC9" si="13">SUM(V9+X9+Z9)</f>
        <v>162000</v>
      </c>
      <c r="AC9" s="17">
        <f t="shared" si="13"/>
        <v>252000</v>
      </c>
      <c r="AD9" s="17">
        <f t="shared" ref="AD9:AD13" si="18">AB9-AC9</f>
        <v>-90000</v>
      </c>
      <c r="AE9" s="7">
        <v>54000.0</v>
      </c>
      <c r="AF9" s="7">
        <v>0.0</v>
      </c>
      <c r="AG9" s="7">
        <v>54000.0</v>
      </c>
      <c r="AH9" s="7">
        <v>63000.0</v>
      </c>
      <c r="AI9" s="7">
        <v>27000.0</v>
      </c>
      <c r="AJ9" s="7">
        <v>94500.0</v>
      </c>
      <c r="AK9" s="17">
        <f t="shared" ref="AK9:AL9" si="14">SUM(AE9+AG9+AI9)</f>
        <v>135000</v>
      </c>
      <c r="AL9" s="17">
        <f t="shared" si="14"/>
        <v>157500</v>
      </c>
      <c r="AM9" s="17">
        <f t="shared" ref="AM9:AM15" si="20">AK9-AL9</f>
        <v>-22500</v>
      </c>
      <c r="AO9" s="31">
        <v>459000.0</v>
      </c>
      <c r="AP9" s="17">
        <f t="shared" ref="AP9:AP14" si="21">SUM(AL9+AC9+T9+J9)</f>
        <v>517500</v>
      </c>
      <c r="AQ9" s="32">
        <f t="shared" ref="AQ9:AQ15" si="22">AO9-AP9</f>
        <v>-58500</v>
      </c>
    </row>
    <row r="10">
      <c r="B10" s="30" t="s">
        <v>35</v>
      </c>
      <c r="C10" s="7">
        <v>0.0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M10" s="7">
        <v>68000.0</v>
      </c>
      <c r="N10" s="7">
        <v>0.0</v>
      </c>
      <c r="O10" s="7">
        <v>68000.0</v>
      </c>
      <c r="P10" s="7">
        <v>68000.0</v>
      </c>
      <c r="Q10" s="7">
        <v>68000.0</v>
      </c>
      <c r="R10" s="7">
        <v>68000.0</v>
      </c>
      <c r="S10" s="17">
        <f t="shared" ref="S10:T10" si="15">SUM(M10+O10+Q10)</f>
        <v>204000</v>
      </c>
      <c r="T10" s="17">
        <f t="shared" si="15"/>
        <v>136000</v>
      </c>
      <c r="U10" s="17">
        <f t="shared" si="16"/>
        <v>68000</v>
      </c>
      <c r="V10" s="7">
        <v>68000.0</v>
      </c>
      <c r="W10" s="7">
        <v>136000.0</v>
      </c>
      <c r="X10" s="7">
        <v>68000.0</v>
      </c>
      <c r="Y10" s="7">
        <v>0.0</v>
      </c>
      <c r="Z10" s="7">
        <v>68000.0</v>
      </c>
      <c r="AA10" s="7">
        <v>136000.0</v>
      </c>
      <c r="AB10" s="17">
        <f t="shared" ref="AB10:AC10" si="17">SUM(V10+X10+Z10)</f>
        <v>204000</v>
      </c>
      <c r="AC10" s="17">
        <f t="shared" si="17"/>
        <v>272000</v>
      </c>
      <c r="AD10" s="17">
        <f t="shared" si="18"/>
        <v>-68000</v>
      </c>
      <c r="AE10" s="7">
        <v>68000.0</v>
      </c>
      <c r="AF10" s="7">
        <v>0.0</v>
      </c>
      <c r="AG10" s="7">
        <v>68000.0</v>
      </c>
      <c r="AH10" s="7">
        <v>68000.0</v>
      </c>
      <c r="AI10" s="7">
        <v>34000.0</v>
      </c>
      <c r="AJ10" s="7">
        <v>102000.0</v>
      </c>
      <c r="AK10" s="17">
        <f t="shared" ref="AK10:AL10" si="19">SUM(AE10+AG10+AI10)</f>
        <v>170000</v>
      </c>
      <c r="AL10" s="17">
        <f t="shared" si="19"/>
        <v>170000</v>
      </c>
      <c r="AM10" s="17">
        <f t="shared" si="20"/>
        <v>0</v>
      </c>
      <c r="AO10" s="33">
        <v>578000.0</v>
      </c>
      <c r="AP10" s="17">
        <f t="shared" si="21"/>
        <v>578000</v>
      </c>
      <c r="AQ10" s="32">
        <f t="shared" si="22"/>
        <v>0</v>
      </c>
    </row>
    <row r="11">
      <c r="B11" s="34" t="s">
        <v>36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M11" s="7">
        <v>8400.0</v>
      </c>
      <c r="N11" s="7">
        <v>0.0</v>
      </c>
      <c r="O11" s="7">
        <v>8400.0</v>
      </c>
      <c r="P11" s="7">
        <v>0.0</v>
      </c>
      <c r="Q11" s="7">
        <v>8400.0</v>
      </c>
      <c r="R11" s="7">
        <v>0.0</v>
      </c>
      <c r="S11" s="17">
        <f t="shared" ref="S11:T11" si="23">SUM(M11+O11+Q11)</f>
        <v>25200</v>
      </c>
      <c r="T11" s="17">
        <f t="shared" si="23"/>
        <v>0</v>
      </c>
      <c r="U11" s="17">
        <f t="shared" si="16"/>
        <v>25200</v>
      </c>
      <c r="V11" s="7">
        <v>8400.0</v>
      </c>
      <c r="W11" s="7">
        <v>16800.0</v>
      </c>
      <c r="X11" s="7">
        <v>8400.0</v>
      </c>
      <c r="Y11" s="7">
        <v>0.0</v>
      </c>
      <c r="Z11" s="7">
        <v>8400.0</v>
      </c>
      <c r="AA11" s="7">
        <v>8400.0</v>
      </c>
      <c r="AB11" s="17">
        <f t="shared" ref="AB11:AC11" si="24">SUM(V11+X11+Z11)</f>
        <v>25200</v>
      </c>
      <c r="AC11" s="17">
        <f t="shared" si="24"/>
        <v>25200</v>
      </c>
      <c r="AD11" s="17">
        <f t="shared" si="18"/>
        <v>0</v>
      </c>
      <c r="AE11" s="7">
        <v>8400.0</v>
      </c>
      <c r="AF11" s="7">
        <v>25200.0</v>
      </c>
      <c r="AG11" s="7">
        <v>8400.0</v>
      </c>
      <c r="AH11" s="7">
        <v>0.0</v>
      </c>
      <c r="AI11" s="7">
        <v>8400.0</v>
      </c>
      <c r="AJ11" s="7">
        <v>21000.0</v>
      </c>
      <c r="AK11" s="17">
        <f t="shared" ref="AK11:AL11" si="25">SUM(AE11+AG11+AI11)</f>
        <v>25200</v>
      </c>
      <c r="AL11" s="17">
        <f t="shared" si="25"/>
        <v>46200</v>
      </c>
      <c r="AM11" s="17">
        <f t="shared" si="20"/>
        <v>-21000</v>
      </c>
      <c r="AO11" s="33">
        <v>75600.0</v>
      </c>
      <c r="AP11" s="17">
        <f t="shared" si="21"/>
        <v>71400</v>
      </c>
      <c r="AQ11" s="32">
        <f t="shared" si="22"/>
        <v>4200</v>
      </c>
    </row>
    <row r="12">
      <c r="B12" s="35" t="s">
        <v>37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M12" s="7">
        <v>18000.0</v>
      </c>
      <c r="N12" s="7">
        <v>0.0</v>
      </c>
      <c r="O12" s="7">
        <v>18000.0</v>
      </c>
      <c r="P12" s="7">
        <v>18000.0</v>
      </c>
      <c r="Q12" s="7">
        <v>18000.0</v>
      </c>
      <c r="R12" s="7">
        <v>18000.0</v>
      </c>
      <c r="S12" s="17">
        <f t="shared" ref="S12:T12" si="26">SUM(M12+O12+Q12)</f>
        <v>54000</v>
      </c>
      <c r="T12" s="17">
        <f t="shared" si="26"/>
        <v>36000</v>
      </c>
      <c r="U12" s="17">
        <f t="shared" si="16"/>
        <v>18000</v>
      </c>
      <c r="V12" s="7">
        <v>18000.0</v>
      </c>
      <c r="W12" s="7">
        <v>36000.0</v>
      </c>
      <c r="X12" s="7">
        <v>18000.0</v>
      </c>
      <c r="Y12" s="7">
        <v>0.0</v>
      </c>
      <c r="Z12" s="7">
        <v>18000.0</v>
      </c>
      <c r="AA12" s="7">
        <v>36000.0</v>
      </c>
      <c r="AB12" s="17">
        <f t="shared" ref="AB12:AC12" si="27">SUM(V12+X12+Z12)</f>
        <v>54000</v>
      </c>
      <c r="AC12" s="17">
        <f t="shared" si="27"/>
        <v>72000</v>
      </c>
      <c r="AD12" s="17">
        <f t="shared" si="18"/>
        <v>-18000</v>
      </c>
      <c r="AE12" s="7">
        <v>18000.0</v>
      </c>
      <c r="AF12" s="7">
        <v>0.0</v>
      </c>
      <c r="AG12" s="7">
        <v>18000.0</v>
      </c>
      <c r="AH12" s="7">
        <v>18000.0</v>
      </c>
      <c r="AI12" s="7">
        <v>18000.0</v>
      </c>
      <c r="AJ12" s="7">
        <v>27000.0</v>
      </c>
      <c r="AK12" s="17">
        <f t="shared" ref="AK12:AL12" si="28">SUM(AE12+AG12+AI12)</f>
        <v>54000</v>
      </c>
      <c r="AL12" s="17">
        <f t="shared" si="28"/>
        <v>45000</v>
      </c>
      <c r="AM12" s="17">
        <f t="shared" si="20"/>
        <v>9000</v>
      </c>
      <c r="AO12" s="33">
        <v>153000.0</v>
      </c>
      <c r="AP12" s="17">
        <f t="shared" si="21"/>
        <v>153000</v>
      </c>
      <c r="AQ12" s="32">
        <f t="shared" si="22"/>
        <v>0</v>
      </c>
    </row>
    <row r="13">
      <c r="B13" s="35" t="s">
        <v>38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M13" s="7">
        <v>14600.0</v>
      </c>
      <c r="N13" s="7">
        <v>0.0</v>
      </c>
      <c r="O13" s="7">
        <v>14600.0</v>
      </c>
      <c r="P13" s="7">
        <v>14600.0</v>
      </c>
      <c r="Q13" s="7">
        <v>14600.0</v>
      </c>
      <c r="R13" s="7">
        <v>14600.0</v>
      </c>
      <c r="S13" s="17">
        <f t="shared" ref="S13:T13" si="29">SUM(M13+O13+Q13)</f>
        <v>43800</v>
      </c>
      <c r="T13" s="17">
        <f t="shared" si="29"/>
        <v>29200</v>
      </c>
      <c r="U13" s="17">
        <f t="shared" si="16"/>
        <v>14600</v>
      </c>
      <c r="V13" s="7">
        <v>14600.0</v>
      </c>
      <c r="W13" s="7">
        <v>29200.0</v>
      </c>
      <c r="X13" s="7">
        <v>14600.0</v>
      </c>
      <c r="Y13" s="7">
        <v>0.0</v>
      </c>
      <c r="Z13" s="7">
        <v>14600.0</v>
      </c>
      <c r="AA13" s="7">
        <v>29200.0</v>
      </c>
      <c r="AB13" s="17">
        <f t="shared" ref="AB13:AC13" si="30">SUM(V13+X13+Z13)</f>
        <v>43800</v>
      </c>
      <c r="AC13" s="17">
        <f t="shared" si="30"/>
        <v>58400</v>
      </c>
      <c r="AD13" s="17">
        <f t="shared" si="18"/>
        <v>-14600</v>
      </c>
      <c r="AE13" s="7">
        <v>14600.0</v>
      </c>
      <c r="AF13" s="7">
        <v>0.0</v>
      </c>
      <c r="AG13" s="7">
        <v>14600.0</v>
      </c>
      <c r="AH13" s="7">
        <v>14600.0</v>
      </c>
      <c r="AI13" s="7">
        <v>7300.0</v>
      </c>
      <c r="AJ13" s="7">
        <v>21900.0</v>
      </c>
      <c r="AK13" s="17">
        <f t="shared" ref="AK13:AL13" si="31">SUM(AE13+AG13+AI13)</f>
        <v>36500</v>
      </c>
      <c r="AL13" s="17">
        <f t="shared" si="31"/>
        <v>36500</v>
      </c>
      <c r="AM13" s="17">
        <f t="shared" si="20"/>
        <v>0</v>
      </c>
      <c r="AO13" s="33">
        <v>124100.0</v>
      </c>
      <c r="AP13" s="17">
        <f t="shared" si="21"/>
        <v>124100</v>
      </c>
      <c r="AQ13" s="32">
        <f t="shared" si="22"/>
        <v>0</v>
      </c>
    </row>
    <row r="14">
      <c r="B14" s="36" t="s">
        <v>39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33">
        <v>368246.0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368246.0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37">
        <v>357884.0</v>
      </c>
      <c r="AK14" s="7">
        <f t="shared" ref="AK14:AL14" si="32">SUM(AE14+AG14+AI14)</f>
        <v>0</v>
      </c>
      <c r="AL14" s="37">
        <f t="shared" si="32"/>
        <v>357884</v>
      </c>
      <c r="AM14" s="7">
        <f t="shared" si="20"/>
        <v>-357884</v>
      </c>
      <c r="AO14" s="33">
        <v>368246.0</v>
      </c>
      <c r="AP14" s="17">
        <f t="shared" si="21"/>
        <v>357884</v>
      </c>
      <c r="AQ14" s="32">
        <f t="shared" si="22"/>
        <v>10362</v>
      </c>
    </row>
    <row r="15">
      <c r="A15" s="27"/>
      <c r="B15" s="38" t="s">
        <v>40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>
        <f t="shared" ref="M15:T15" si="33">SUM(M9:M14)</f>
        <v>163000</v>
      </c>
      <c r="N15" s="27">
        <f t="shared" si="33"/>
        <v>0</v>
      </c>
      <c r="O15" s="27">
        <f t="shared" si="33"/>
        <v>163000</v>
      </c>
      <c r="P15" s="27">
        <f t="shared" si="33"/>
        <v>154600</v>
      </c>
      <c r="Q15" s="27">
        <f t="shared" si="33"/>
        <v>163000</v>
      </c>
      <c r="R15" s="27">
        <f t="shared" si="33"/>
        <v>154600</v>
      </c>
      <c r="S15" s="27">
        <f t="shared" si="33"/>
        <v>489000</v>
      </c>
      <c r="T15" s="27">
        <f t="shared" si="33"/>
        <v>309200</v>
      </c>
      <c r="U15" s="27">
        <f>S15-T15</f>
        <v>179800</v>
      </c>
      <c r="V15" s="27">
        <f t="shared" ref="V15:AL15" si="34">SUM(V9:V14)</f>
        <v>531246</v>
      </c>
      <c r="W15" s="27">
        <f t="shared" si="34"/>
        <v>344000</v>
      </c>
      <c r="X15" s="27">
        <f t="shared" si="34"/>
        <v>163000</v>
      </c>
      <c r="Y15" s="27">
        <f t="shared" si="34"/>
        <v>0</v>
      </c>
      <c r="Z15" s="27">
        <f t="shared" si="34"/>
        <v>163000</v>
      </c>
      <c r="AA15" s="27">
        <f t="shared" si="34"/>
        <v>335600</v>
      </c>
      <c r="AB15" s="27">
        <f t="shared" si="34"/>
        <v>857246</v>
      </c>
      <c r="AC15" s="27">
        <f t="shared" si="34"/>
        <v>679600</v>
      </c>
      <c r="AD15" s="27">
        <f t="shared" si="34"/>
        <v>-190600</v>
      </c>
      <c r="AE15" s="27">
        <f t="shared" si="34"/>
        <v>163000</v>
      </c>
      <c r="AF15" s="27">
        <f t="shared" si="34"/>
        <v>25200</v>
      </c>
      <c r="AG15" s="27">
        <f t="shared" si="34"/>
        <v>163000</v>
      </c>
      <c r="AH15" s="27">
        <f t="shared" si="34"/>
        <v>163600</v>
      </c>
      <c r="AI15" s="27">
        <f t="shared" si="34"/>
        <v>94700</v>
      </c>
      <c r="AJ15" s="27">
        <f t="shared" si="34"/>
        <v>624284</v>
      </c>
      <c r="AK15" s="27">
        <f t="shared" si="34"/>
        <v>420700</v>
      </c>
      <c r="AL15" s="27">
        <f t="shared" si="34"/>
        <v>813084</v>
      </c>
      <c r="AM15" s="27">
        <f t="shared" si="20"/>
        <v>-392384</v>
      </c>
      <c r="AN15" s="27"/>
      <c r="AO15" s="27">
        <f t="shared" ref="AO15:AP15" si="35">SUM(AO9:AO14)</f>
        <v>1757946</v>
      </c>
      <c r="AP15" s="27">
        <f t="shared" si="35"/>
        <v>1801884</v>
      </c>
      <c r="AQ15" s="27">
        <f t="shared" si="22"/>
        <v>-43938</v>
      </c>
    </row>
    <row r="16">
      <c r="A16" s="3" t="s">
        <v>41</v>
      </c>
      <c r="B16" s="8" t="s">
        <v>42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39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B17" s="20" t="s">
        <v>43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M17" s="40">
        <v>12500.0</v>
      </c>
      <c r="N17" s="40">
        <v>0.0</v>
      </c>
      <c r="O17" s="40">
        <v>12500.0</v>
      </c>
      <c r="P17" s="40">
        <v>0.0</v>
      </c>
      <c r="Q17" s="40">
        <v>12500.0</v>
      </c>
      <c r="R17" s="40">
        <v>0.0</v>
      </c>
      <c r="S17" s="41">
        <f t="shared" ref="S17:T17" si="36">SUM(M17+O17+Q17)</f>
        <v>37500</v>
      </c>
      <c r="T17" s="40">
        <f t="shared" si="36"/>
        <v>0</v>
      </c>
      <c r="U17" s="41">
        <f t="shared" ref="U17:U20" si="41">S17-T17</f>
        <v>37500</v>
      </c>
      <c r="V17" s="40">
        <v>12500.0</v>
      </c>
      <c r="W17" s="42">
        <v>37215.0</v>
      </c>
      <c r="X17" s="40">
        <v>12500.0</v>
      </c>
      <c r="Y17" s="40">
        <v>0.0</v>
      </c>
      <c r="Z17" s="40">
        <v>12500.0</v>
      </c>
      <c r="AA17" s="40">
        <v>19090.0</v>
      </c>
      <c r="AB17" s="41">
        <f t="shared" ref="AB17:AC17" si="37">SUM(V17+X17+Z17)</f>
        <v>37500</v>
      </c>
      <c r="AC17" s="42">
        <f t="shared" si="37"/>
        <v>56305</v>
      </c>
      <c r="AD17" s="42">
        <f t="shared" ref="AD17:AD21" si="43">AB17-AC17</f>
        <v>-18805</v>
      </c>
      <c r="AE17" s="40">
        <v>12500.0</v>
      </c>
      <c r="AF17" s="43">
        <v>36870.0</v>
      </c>
      <c r="AG17" s="40">
        <v>12500.0</v>
      </c>
      <c r="AH17" s="40">
        <v>0.0</v>
      </c>
      <c r="AI17" s="40">
        <v>12500.0</v>
      </c>
      <c r="AJ17" s="40">
        <v>21190.0</v>
      </c>
      <c r="AK17" s="41">
        <f t="shared" ref="AK17:AL17" si="38">SUM(AE17+AG17+AI17)</f>
        <v>37500</v>
      </c>
      <c r="AL17" s="42">
        <f t="shared" si="38"/>
        <v>58060</v>
      </c>
      <c r="AM17" s="42">
        <f t="shared" ref="AM17:AM21" si="45">AK17-AL17</f>
        <v>-20560</v>
      </c>
      <c r="AN17" s="2"/>
      <c r="AO17" s="41">
        <f t="shared" ref="AO17:AP17" si="39">SUM(AK17+AB17+S17+I17)</f>
        <v>112500</v>
      </c>
      <c r="AP17" s="42">
        <f t="shared" si="39"/>
        <v>114365</v>
      </c>
      <c r="AQ17" s="42">
        <f t="shared" ref="AQ17:AQ21" si="47">AO17-AP17</f>
        <v>-1865</v>
      </c>
    </row>
    <row r="18">
      <c r="B18" s="19" t="s">
        <v>44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M18" s="44">
        <v>2452.0</v>
      </c>
      <c r="N18" s="44">
        <v>0.0</v>
      </c>
      <c r="O18" s="44">
        <v>2452.0</v>
      </c>
      <c r="P18" s="44">
        <v>0.0</v>
      </c>
      <c r="Q18" s="44">
        <v>2452.0</v>
      </c>
      <c r="R18" s="44">
        <v>0.0</v>
      </c>
      <c r="S18" s="41">
        <f t="shared" ref="S18:T18" si="40">SUM(M18+O18+Q18)</f>
        <v>7356</v>
      </c>
      <c r="T18" s="40">
        <f t="shared" si="40"/>
        <v>0</v>
      </c>
      <c r="U18" s="41">
        <f t="shared" si="41"/>
        <v>7356</v>
      </c>
      <c r="V18" s="44">
        <v>2452.0</v>
      </c>
      <c r="W18" s="45">
        <v>4985.0</v>
      </c>
      <c r="X18" s="44">
        <v>2452.0</v>
      </c>
      <c r="Y18" s="44">
        <v>0.0</v>
      </c>
      <c r="Z18" s="44">
        <v>2452.0</v>
      </c>
      <c r="AA18" s="44">
        <v>2430.0</v>
      </c>
      <c r="AB18" s="41">
        <f t="shared" ref="AB18:AC18" si="42">SUM(V18+X18+Z18)</f>
        <v>7356</v>
      </c>
      <c r="AC18" s="42">
        <f t="shared" si="42"/>
        <v>7415</v>
      </c>
      <c r="AD18" s="42">
        <f t="shared" si="43"/>
        <v>-59</v>
      </c>
      <c r="AE18" s="44">
        <v>2452.0</v>
      </c>
      <c r="AF18" s="44">
        <v>5950.0</v>
      </c>
      <c r="AG18" s="44">
        <v>2452.0</v>
      </c>
      <c r="AH18" s="44">
        <v>0.0</v>
      </c>
      <c r="AI18" s="44">
        <v>2452.0</v>
      </c>
      <c r="AJ18" s="44">
        <v>7970.0</v>
      </c>
      <c r="AK18" s="41">
        <f t="shared" ref="AK18:AL18" si="44">SUM(AE18+AG18+AI18)</f>
        <v>7356</v>
      </c>
      <c r="AL18" s="42">
        <f t="shared" si="44"/>
        <v>13920</v>
      </c>
      <c r="AM18" s="42">
        <f t="shared" si="45"/>
        <v>-6564</v>
      </c>
      <c r="AN18" s="46"/>
      <c r="AO18" s="41">
        <f t="shared" ref="AO18:AP18" si="46">SUM(AK18+AB18+S18+I18)</f>
        <v>22068</v>
      </c>
      <c r="AP18" s="42">
        <f t="shared" si="46"/>
        <v>21335</v>
      </c>
      <c r="AQ18" s="42">
        <f t="shared" si="47"/>
        <v>733</v>
      </c>
    </row>
    <row r="19">
      <c r="B19" s="35" t="s">
        <v>45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M19" s="41">
        <v>16410.0</v>
      </c>
      <c r="N19" s="41">
        <v>0.0</v>
      </c>
      <c r="O19" s="41">
        <v>16410.0</v>
      </c>
      <c r="P19" s="41">
        <v>16410.0</v>
      </c>
      <c r="Q19" s="41">
        <v>16410.0</v>
      </c>
      <c r="R19" s="41">
        <v>16410.0</v>
      </c>
      <c r="S19" s="41">
        <f t="shared" ref="S19:T19" si="48">SUM(M19+O19+Q19)</f>
        <v>49230</v>
      </c>
      <c r="T19" s="40">
        <f t="shared" si="48"/>
        <v>32820</v>
      </c>
      <c r="U19" s="41">
        <f t="shared" si="41"/>
        <v>16410</v>
      </c>
      <c r="V19" s="41">
        <v>16410.0</v>
      </c>
      <c r="W19" s="41">
        <v>32820.0</v>
      </c>
      <c r="X19" s="41">
        <v>16410.0</v>
      </c>
      <c r="Y19" s="41">
        <v>0.0</v>
      </c>
      <c r="Z19" s="41">
        <v>16410.0</v>
      </c>
      <c r="AA19" s="41">
        <v>32820.0</v>
      </c>
      <c r="AB19" s="41">
        <f t="shared" ref="AB19:AC19" si="49">SUM(V19+X19+Z19)</f>
        <v>49230</v>
      </c>
      <c r="AC19" s="41">
        <f t="shared" si="49"/>
        <v>65640</v>
      </c>
      <c r="AD19" s="41">
        <f t="shared" si="43"/>
        <v>-16410</v>
      </c>
      <c r="AE19" s="41">
        <v>16410.0</v>
      </c>
      <c r="AF19" s="41">
        <v>0.0</v>
      </c>
      <c r="AG19" s="41">
        <v>16410.0</v>
      </c>
      <c r="AH19" s="41">
        <v>16410.0</v>
      </c>
      <c r="AI19" s="41">
        <v>8205.0</v>
      </c>
      <c r="AJ19" s="41">
        <v>24615.0</v>
      </c>
      <c r="AK19" s="41">
        <f t="shared" ref="AK19:AL19" si="50">SUM(AE19+AG19+AI19)</f>
        <v>41025</v>
      </c>
      <c r="AL19" s="42">
        <f t="shared" si="50"/>
        <v>41025</v>
      </c>
      <c r="AM19" s="42">
        <f t="shared" si="45"/>
        <v>0</v>
      </c>
      <c r="AN19" s="2"/>
      <c r="AO19" s="41">
        <f t="shared" ref="AO19:AP19" si="51">SUM(AK19+AB19+S19+I19)</f>
        <v>139485</v>
      </c>
      <c r="AP19" s="42">
        <f t="shared" si="51"/>
        <v>139485</v>
      </c>
      <c r="AQ19" s="42">
        <f t="shared" si="47"/>
        <v>0</v>
      </c>
    </row>
    <row r="20">
      <c r="B20" s="47" t="s">
        <v>46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41">
        <f t="shared" ref="S20:T20" si="52">SUM(M20+O20+Q20)</f>
        <v>0</v>
      </c>
      <c r="T20" s="40">
        <f t="shared" si="52"/>
        <v>0</v>
      </c>
      <c r="U20" s="41">
        <f t="shared" si="41"/>
        <v>0</v>
      </c>
      <c r="V20" s="24">
        <v>20972.0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42">
        <f t="shared" ref="AB20:AC20" si="53">SUM(V20+X20+Z20)</f>
        <v>20972</v>
      </c>
      <c r="AC20" s="41">
        <f t="shared" si="53"/>
        <v>0</v>
      </c>
      <c r="AD20" s="42">
        <f t="shared" si="43"/>
        <v>20972</v>
      </c>
      <c r="AE20" s="7">
        <v>0.0</v>
      </c>
      <c r="AF20" s="21">
        <v>12586.0</v>
      </c>
      <c r="AG20" s="7">
        <v>0.0</v>
      </c>
      <c r="AH20" s="7">
        <v>0.0</v>
      </c>
      <c r="AI20" s="7">
        <v>0.0</v>
      </c>
      <c r="AJ20" s="24">
        <v>8106.0</v>
      </c>
      <c r="AK20" s="41">
        <f t="shared" ref="AK20:AL20" si="54">SUM(AE20+AG20+AI20)</f>
        <v>0</v>
      </c>
      <c r="AL20" s="42">
        <f t="shared" si="54"/>
        <v>20692</v>
      </c>
      <c r="AM20" s="42">
        <f t="shared" si="45"/>
        <v>-20692</v>
      </c>
      <c r="AO20" s="42">
        <f t="shared" ref="AO20:AP20" si="55">SUM(AK20+AB20+S20+I20)</f>
        <v>20972</v>
      </c>
      <c r="AP20" s="42">
        <f t="shared" si="55"/>
        <v>20692</v>
      </c>
      <c r="AQ20" s="42">
        <f t="shared" si="47"/>
        <v>280</v>
      </c>
    </row>
    <row r="21">
      <c r="B21" s="7" t="s">
        <v>47</v>
      </c>
      <c r="M21" s="17">
        <f t="shared" ref="M21:AC21" si="56">SUM(M17:M20)</f>
        <v>31362</v>
      </c>
      <c r="N21" s="17">
        <f t="shared" si="56"/>
        <v>0</v>
      </c>
      <c r="O21" s="17">
        <f t="shared" si="56"/>
        <v>31362</v>
      </c>
      <c r="P21" s="17">
        <f t="shared" si="56"/>
        <v>16410</v>
      </c>
      <c r="Q21" s="17">
        <f t="shared" si="56"/>
        <v>31362</v>
      </c>
      <c r="R21" s="17">
        <f t="shared" si="56"/>
        <v>16410</v>
      </c>
      <c r="S21" s="41">
        <f t="shared" si="56"/>
        <v>94086</v>
      </c>
      <c r="T21" s="40">
        <f t="shared" si="56"/>
        <v>32820</v>
      </c>
      <c r="U21" s="41">
        <f t="shared" si="56"/>
        <v>61266</v>
      </c>
      <c r="V21" s="17">
        <f t="shared" si="56"/>
        <v>52334</v>
      </c>
      <c r="W21" s="18">
        <f t="shared" si="56"/>
        <v>75020</v>
      </c>
      <c r="X21" s="17">
        <f t="shared" si="56"/>
        <v>31362</v>
      </c>
      <c r="Y21" s="17">
        <f t="shared" si="56"/>
        <v>0</v>
      </c>
      <c r="Z21" s="17">
        <f t="shared" si="56"/>
        <v>31362</v>
      </c>
      <c r="AA21" s="17">
        <f t="shared" si="56"/>
        <v>54340</v>
      </c>
      <c r="AB21" s="41">
        <f t="shared" si="56"/>
        <v>115058</v>
      </c>
      <c r="AC21" s="42">
        <f t="shared" si="56"/>
        <v>129360</v>
      </c>
      <c r="AD21" s="42">
        <f t="shared" si="43"/>
        <v>-14302</v>
      </c>
      <c r="AE21" s="17">
        <f t="shared" ref="AE21:AL21" si="57">SUM(AE17:AE20)</f>
        <v>31362</v>
      </c>
      <c r="AF21" s="18">
        <f t="shared" si="57"/>
        <v>55406</v>
      </c>
      <c r="AG21" s="17">
        <f t="shared" si="57"/>
        <v>31362</v>
      </c>
      <c r="AH21" s="17">
        <f t="shared" si="57"/>
        <v>16410</v>
      </c>
      <c r="AI21" s="17">
        <f t="shared" si="57"/>
        <v>23157</v>
      </c>
      <c r="AJ21" s="17">
        <f t="shared" si="57"/>
        <v>61881</v>
      </c>
      <c r="AK21" s="41">
        <f t="shared" si="57"/>
        <v>85881</v>
      </c>
      <c r="AL21" s="42">
        <f t="shared" si="57"/>
        <v>133697</v>
      </c>
      <c r="AM21" s="42">
        <f t="shared" si="45"/>
        <v>-47816</v>
      </c>
      <c r="AO21" s="41">
        <f t="shared" ref="AO21:AP21" si="58">SUM(AO17:AO20)</f>
        <v>295025</v>
      </c>
      <c r="AP21" s="48">
        <f t="shared" si="58"/>
        <v>295877</v>
      </c>
      <c r="AQ21" s="42">
        <f t="shared" si="47"/>
        <v>-852</v>
      </c>
    </row>
    <row r="22">
      <c r="A22" s="3" t="s">
        <v>48</v>
      </c>
      <c r="B22" s="8" t="s">
        <v>49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49"/>
      <c r="T22" s="50"/>
      <c r="U22" s="49"/>
      <c r="V22" s="6"/>
      <c r="W22" s="6"/>
      <c r="X22" s="6"/>
      <c r="Y22" s="6"/>
      <c r="Z22" s="6"/>
      <c r="AA22" s="6"/>
      <c r="AB22" s="49"/>
      <c r="AC22" s="49"/>
      <c r="AD22" s="49"/>
      <c r="AE22" s="6"/>
      <c r="AF22" s="6"/>
      <c r="AG22" s="6"/>
      <c r="AH22" s="6"/>
      <c r="AI22" s="6"/>
      <c r="AJ22" s="6"/>
      <c r="AK22" s="49"/>
      <c r="AL22" s="51"/>
      <c r="AM22" s="51"/>
      <c r="AN22" s="6"/>
      <c r="AO22" s="49"/>
      <c r="AP22" s="51"/>
      <c r="AQ22" s="51"/>
    </row>
    <row r="23">
      <c r="B23" s="19" t="s">
        <v>50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M23" s="33">
        <v>0.0</v>
      </c>
      <c r="N23" s="7">
        <v>0.0</v>
      </c>
      <c r="O23" s="33">
        <v>0.0</v>
      </c>
      <c r="P23" s="52">
        <v>0.0</v>
      </c>
      <c r="Q23" s="33">
        <v>30000.0</v>
      </c>
      <c r="R23" s="53">
        <v>0.0</v>
      </c>
      <c r="S23" s="41">
        <f t="shared" ref="S23:T23" si="59">SUM(M23+O23+Q23)</f>
        <v>30000</v>
      </c>
      <c r="T23" s="40">
        <f t="shared" si="59"/>
        <v>0</v>
      </c>
      <c r="U23" s="41">
        <f t="shared" ref="U23:U27" si="64">S23-T23</f>
        <v>30000</v>
      </c>
      <c r="V23" s="33">
        <v>0.0</v>
      </c>
      <c r="W23" s="54"/>
      <c r="X23" s="33">
        <v>0.0</v>
      </c>
      <c r="Y23" s="7">
        <v>0.0</v>
      </c>
      <c r="Z23" s="33">
        <v>0.0</v>
      </c>
      <c r="AA23" s="21">
        <v>30300.0</v>
      </c>
      <c r="AB23" s="41">
        <f t="shared" ref="AB23:AC23" si="60">SUM(V23+X23+Z23)</f>
        <v>0</v>
      </c>
      <c r="AC23" s="42">
        <f t="shared" si="60"/>
        <v>30300</v>
      </c>
      <c r="AD23" s="42">
        <f t="shared" ref="AD23:AD27" si="66">AB23-AC23</f>
        <v>-30300</v>
      </c>
      <c r="AE23" s="33">
        <v>30000.0</v>
      </c>
      <c r="AF23" s="54"/>
      <c r="AG23" s="33">
        <v>0.0</v>
      </c>
      <c r="AH23" s="54"/>
      <c r="AI23" s="33">
        <v>0.0</v>
      </c>
      <c r="AJ23" s="24">
        <v>30200.0</v>
      </c>
      <c r="AK23" s="41">
        <f t="shared" ref="AK23:AL23" si="61">SUM(AE23+AG23+AI23)</f>
        <v>30000</v>
      </c>
      <c r="AL23" s="42">
        <f t="shared" si="61"/>
        <v>30200</v>
      </c>
      <c r="AM23" s="42">
        <f t="shared" ref="AM23:AM27" si="68">AK23-AL23</f>
        <v>-200</v>
      </c>
      <c r="AO23" s="41">
        <f t="shared" ref="AO23:AP23" si="62">SUM(AK23+AB23+S23+I23)</f>
        <v>60000</v>
      </c>
      <c r="AP23" s="42">
        <f t="shared" si="62"/>
        <v>60500</v>
      </c>
      <c r="AQ23" s="42">
        <f t="shared" ref="AQ23:AQ27" si="70">AO23-AP23</f>
        <v>-500</v>
      </c>
    </row>
    <row r="24">
      <c r="B24" s="20" t="s">
        <v>51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M24" s="33">
        <v>45000.0</v>
      </c>
      <c r="N24" s="7">
        <v>0.0</v>
      </c>
      <c r="O24" s="33">
        <v>45000.0</v>
      </c>
      <c r="P24" s="55">
        <v>45000.0</v>
      </c>
      <c r="Q24" s="56">
        <v>45000.0</v>
      </c>
      <c r="R24" s="43">
        <v>45000.0</v>
      </c>
      <c r="S24" s="42">
        <f t="shared" ref="S24:T24" si="63">SUM(M24+O24+Q24)</f>
        <v>135000</v>
      </c>
      <c r="T24" s="42">
        <f t="shared" si="63"/>
        <v>90000</v>
      </c>
      <c r="U24" s="42">
        <f t="shared" si="64"/>
        <v>45000</v>
      </c>
      <c r="V24" s="33">
        <v>45000.0</v>
      </c>
      <c r="W24" s="21">
        <v>72000.0</v>
      </c>
      <c r="X24" s="33">
        <v>45000.0</v>
      </c>
      <c r="Y24" s="7">
        <v>0.0</v>
      </c>
      <c r="Z24" s="33">
        <v>45000.0</v>
      </c>
      <c r="AA24" s="21">
        <v>72000.0</v>
      </c>
      <c r="AB24" s="41">
        <f t="shared" ref="AB24:AC24" si="65">SUM(V24+X24+Z24)</f>
        <v>135000</v>
      </c>
      <c r="AC24" s="42">
        <f t="shared" si="65"/>
        <v>144000</v>
      </c>
      <c r="AD24" s="42">
        <f t="shared" si="66"/>
        <v>-9000</v>
      </c>
      <c r="AE24" s="33">
        <v>45000.0</v>
      </c>
      <c r="AF24" s="54"/>
      <c r="AG24" s="33">
        <v>45000.0</v>
      </c>
      <c r="AH24" s="21">
        <v>36000.0</v>
      </c>
      <c r="AI24" s="33">
        <v>22500.0</v>
      </c>
      <c r="AJ24" s="57">
        <v>54000.0</v>
      </c>
      <c r="AK24" s="41">
        <f t="shared" ref="AK24:AL24" si="67">SUM(AE24+AG24+AI24)</f>
        <v>112500</v>
      </c>
      <c r="AL24" s="42">
        <f t="shared" si="67"/>
        <v>90000</v>
      </c>
      <c r="AM24" s="42">
        <f t="shared" si="68"/>
        <v>22500</v>
      </c>
      <c r="AO24" s="42">
        <f t="shared" ref="AO24:AP24" si="69">SUM(AK24+AB24+S24+I24)</f>
        <v>382500</v>
      </c>
      <c r="AP24" s="42">
        <f t="shared" si="69"/>
        <v>324000</v>
      </c>
      <c r="AQ24" s="42">
        <f t="shared" si="70"/>
        <v>58500</v>
      </c>
    </row>
    <row r="25">
      <c r="B25" s="7" t="s">
        <v>52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M25" s="33">
        <v>1156.0</v>
      </c>
      <c r="N25" s="7">
        <v>0.0</v>
      </c>
      <c r="O25" s="33">
        <v>1156.0</v>
      </c>
      <c r="P25" s="58">
        <v>0.0</v>
      </c>
      <c r="Q25" s="33">
        <v>1156.0</v>
      </c>
      <c r="R25" s="53">
        <v>0.0</v>
      </c>
      <c r="S25" s="41">
        <f t="shared" ref="S25:T25" si="71">SUM(M25+O25+Q25)</f>
        <v>3468</v>
      </c>
      <c r="T25" s="40">
        <f t="shared" si="71"/>
        <v>0</v>
      </c>
      <c r="U25" s="41">
        <f t="shared" si="64"/>
        <v>3468</v>
      </c>
      <c r="V25" s="33">
        <v>1156.0</v>
      </c>
      <c r="W25" s="54"/>
      <c r="X25" s="33">
        <v>1156.0</v>
      </c>
      <c r="Y25" s="7">
        <v>0.0</v>
      </c>
      <c r="Z25" s="33">
        <v>1156.0</v>
      </c>
      <c r="AA25" s="54"/>
      <c r="AB25" s="41">
        <f t="shared" ref="AB25:AC25" si="72">SUM(V25+X25+Z25)</f>
        <v>3468</v>
      </c>
      <c r="AC25" s="41">
        <f t="shared" si="72"/>
        <v>0</v>
      </c>
      <c r="AD25" s="41">
        <f t="shared" si="66"/>
        <v>3468</v>
      </c>
      <c r="AE25" s="33">
        <v>1156.0</v>
      </c>
      <c r="AF25" s="54"/>
      <c r="AG25" s="33">
        <v>1156.0</v>
      </c>
      <c r="AH25" s="54"/>
      <c r="AI25" s="33">
        <v>1156.0</v>
      </c>
      <c r="AJ25" s="57">
        <v>10367.0</v>
      </c>
      <c r="AK25" s="41">
        <f t="shared" ref="AK25:AL25" si="73">SUM(AE25+AG25+AI25)</f>
        <v>3468</v>
      </c>
      <c r="AL25" s="42">
        <f t="shared" si="73"/>
        <v>10367</v>
      </c>
      <c r="AM25" s="42">
        <f t="shared" si="68"/>
        <v>-6899</v>
      </c>
      <c r="AO25" s="41">
        <f t="shared" ref="AO25:AP25" si="74">SUM(AK25+AB25+S25+I25)</f>
        <v>10404</v>
      </c>
      <c r="AP25" s="42">
        <f t="shared" si="74"/>
        <v>10367</v>
      </c>
      <c r="AQ25" s="42">
        <f t="shared" si="70"/>
        <v>37</v>
      </c>
    </row>
    <row r="26">
      <c r="B26" s="7" t="s">
        <v>53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M26" s="33">
        <v>300.0</v>
      </c>
      <c r="N26" s="7">
        <v>0.0</v>
      </c>
      <c r="O26" s="33">
        <v>300.0</v>
      </c>
      <c r="P26" s="58">
        <v>0.0</v>
      </c>
      <c r="Q26" s="33">
        <v>300.0</v>
      </c>
      <c r="R26" s="53">
        <v>0.0</v>
      </c>
      <c r="S26" s="41">
        <f t="shared" ref="S26:T26" si="75">SUM(M26+O26+Q26)</f>
        <v>900</v>
      </c>
      <c r="T26" s="40">
        <f t="shared" si="75"/>
        <v>0</v>
      </c>
      <c r="U26" s="41">
        <f t="shared" si="64"/>
        <v>900</v>
      </c>
      <c r="V26" s="33">
        <v>300.0</v>
      </c>
      <c r="W26" s="52">
        <v>600.0</v>
      </c>
      <c r="X26" s="33">
        <v>300.0</v>
      </c>
      <c r="Y26" s="7">
        <v>0.0</v>
      </c>
      <c r="Z26" s="33">
        <v>300.0</v>
      </c>
      <c r="AA26" s="52">
        <v>300.0</v>
      </c>
      <c r="AB26" s="41">
        <f t="shared" ref="AB26:AC26" si="76">SUM(V26+X26+Z26)</f>
        <v>900</v>
      </c>
      <c r="AC26" s="41">
        <f t="shared" si="76"/>
        <v>900</v>
      </c>
      <c r="AD26" s="41">
        <f t="shared" si="66"/>
        <v>0</v>
      </c>
      <c r="AE26" s="33">
        <v>300.0</v>
      </c>
      <c r="AF26" s="52">
        <v>900.0</v>
      </c>
      <c r="AG26" s="33">
        <v>300.0</v>
      </c>
      <c r="AH26" s="54"/>
      <c r="AI26" s="33">
        <v>300.0</v>
      </c>
      <c r="AJ26" s="59">
        <v>600.0</v>
      </c>
      <c r="AK26" s="41">
        <f t="shared" ref="AK26:AL26" si="77">SUM(AE26+AG26+AI26)</f>
        <v>900</v>
      </c>
      <c r="AL26" s="42">
        <f t="shared" si="77"/>
        <v>1500</v>
      </c>
      <c r="AM26" s="42">
        <f t="shared" si="68"/>
        <v>-600</v>
      </c>
      <c r="AO26" s="41">
        <f t="shared" ref="AO26:AP26" si="78">SUM(AK26+AB26+S26+I26)</f>
        <v>2700</v>
      </c>
      <c r="AP26" s="42">
        <f t="shared" si="78"/>
        <v>2400</v>
      </c>
      <c r="AQ26" s="42">
        <f t="shared" si="70"/>
        <v>300</v>
      </c>
    </row>
    <row r="27">
      <c r="A27" s="27"/>
      <c r="B27" s="38" t="s">
        <v>54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27"/>
      <c r="M27" s="27">
        <f t="shared" ref="M27:T27" si="79">SUM(M23:M26)</f>
        <v>46456</v>
      </c>
      <c r="N27" s="27">
        <f t="shared" si="79"/>
        <v>0</v>
      </c>
      <c r="O27" s="27">
        <f t="shared" si="79"/>
        <v>46456</v>
      </c>
      <c r="P27" s="27">
        <f t="shared" si="79"/>
        <v>45000</v>
      </c>
      <c r="Q27" s="27">
        <f t="shared" si="79"/>
        <v>76456</v>
      </c>
      <c r="R27" s="27">
        <f t="shared" si="79"/>
        <v>45000</v>
      </c>
      <c r="S27" s="60">
        <f t="shared" si="79"/>
        <v>169368</v>
      </c>
      <c r="T27" s="61">
        <f t="shared" si="79"/>
        <v>90000</v>
      </c>
      <c r="U27" s="60">
        <f t="shared" si="64"/>
        <v>79368</v>
      </c>
      <c r="V27" s="27">
        <f t="shared" ref="V27:AC27" si="80">SUM(V23:V26)</f>
        <v>46456</v>
      </c>
      <c r="W27" s="27">
        <f t="shared" si="80"/>
        <v>72600</v>
      </c>
      <c r="X27" s="27">
        <f t="shared" si="80"/>
        <v>46456</v>
      </c>
      <c r="Y27" s="27">
        <f t="shared" si="80"/>
        <v>0</v>
      </c>
      <c r="Z27" s="27">
        <f t="shared" si="80"/>
        <v>46456</v>
      </c>
      <c r="AA27" s="28">
        <f t="shared" si="80"/>
        <v>102600</v>
      </c>
      <c r="AB27" s="60">
        <f t="shared" si="80"/>
        <v>139368</v>
      </c>
      <c r="AC27" s="48">
        <f t="shared" si="80"/>
        <v>175200</v>
      </c>
      <c r="AD27" s="48">
        <f t="shared" si="66"/>
        <v>-35832</v>
      </c>
      <c r="AE27" s="27">
        <f t="shared" ref="AE27:AL27" si="81">SUM(AE23:AE26)</f>
        <v>76456</v>
      </c>
      <c r="AF27" s="27">
        <f t="shared" si="81"/>
        <v>900</v>
      </c>
      <c r="AG27" s="27">
        <f t="shared" si="81"/>
        <v>46456</v>
      </c>
      <c r="AH27" s="27">
        <f t="shared" si="81"/>
        <v>36000</v>
      </c>
      <c r="AI27" s="27">
        <f t="shared" si="81"/>
        <v>23956</v>
      </c>
      <c r="AJ27" s="28">
        <f t="shared" si="81"/>
        <v>95167</v>
      </c>
      <c r="AK27" s="60">
        <f t="shared" si="81"/>
        <v>146868</v>
      </c>
      <c r="AL27" s="48">
        <f t="shared" si="81"/>
        <v>132067</v>
      </c>
      <c r="AM27" s="48">
        <f t="shared" si="68"/>
        <v>14801</v>
      </c>
      <c r="AN27" s="27"/>
      <c r="AO27" s="60">
        <f t="shared" ref="AO27:AP27" si="82">SUM(AO23:AO26)</f>
        <v>455604</v>
      </c>
      <c r="AP27" s="48">
        <f t="shared" si="82"/>
        <v>397267</v>
      </c>
      <c r="AQ27" s="48">
        <f t="shared" si="70"/>
        <v>58337</v>
      </c>
    </row>
    <row r="28">
      <c r="A28" s="3" t="s">
        <v>55</v>
      </c>
      <c r="B28" s="8" t="s">
        <v>56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49"/>
      <c r="T28" s="50"/>
      <c r="U28" s="49"/>
      <c r="V28" s="6"/>
      <c r="W28" s="6"/>
      <c r="X28" s="6"/>
      <c r="Y28" s="6"/>
      <c r="Z28" s="6"/>
      <c r="AA28" s="6"/>
      <c r="AB28" s="49"/>
      <c r="AC28" s="49"/>
      <c r="AD28" s="49"/>
      <c r="AE28" s="6"/>
      <c r="AF28" s="6"/>
      <c r="AG28" s="6"/>
      <c r="AH28" s="6"/>
      <c r="AI28" s="6"/>
      <c r="AJ28" s="6"/>
      <c r="AK28" s="49"/>
      <c r="AL28" s="51"/>
      <c r="AM28" s="51"/>
      <c r="AN28" s="6"/>
      <c r="AO28" s="49"/>
      <c r="AP28" s="51"/>
      <c r="AQ28" s="51"/>
    </row>
    <row r="29">
      <c r="B29" s="20" t="s">
        <v>57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M29" s="33">
        <v>47650.0</v>
      </c>
      <c r="N29" s="7">
        <v>0.0</v>
      </c>
      <c r="O29" s="33">
        <v>47650.0</v>
      </c>
      <c r="P29" s="23">
        <v>47650.0</v>
      </c>
      <c r="Q29" s="33">
        <v>47650.0</v>
      </c>
      <c r="R29" s="21">
        <v>47650.0</v>
      </c>
      <c r="S29" s="41">
        <f t="shared" ref="S29:T29" si="83">SUM(M29+O29+Q29)</f>
        <v>142950</v>
      </c>
      <c r="T29" s="42">
        <f t="shared" si="83"/>
        <v>95300</v>
      </c>
      <c r="U29" s="42">
        <f t="shared" ref="U29:U37" si="88">S29-T29</f>
        <v>47650</v>
      </c>
      <c r="V29" s="33">
        <v>47650.0</v>
      </c>
      <c r="W29" s="21">
        <v>95300.0</v>
      </c>
      <c r="X29" s="33">
        <v>47650.0</v>
      </c>
      <c r="Y29" s="7">
        <v>0.0</v>
      </c>
      <c r="Z29" s="33">
        <v>47650.0</v>
      </c>
      <c r="AA29" s="21">
        <v>95300.0</v>
      </c>
      <c r="AB29" s="41">
        <f t="shared" ref="AB29:AC29" si="84">SUM(V29+X29+Z29)</f>
        <v>142950</v>
      </c>
      <c r="AC29" s="42">
        <f t="shared" si="84"/>
        <v>190600</v>
      </c>
      <c r="AD29" s="42">
        <f t="shared" ref="AD29:AD37" si="90">AB29-AC29</f>
        <v>-47650</v>
      </c>
      <c r="AE29" s="62">
        <v>47650.0</v>
      </c>
      <c r="AF29" s="54"/>
      <c r="AG29" s="62">
        <v>47650.0</v>
      </c>
      <c r="AH29" s="21">
        <v>47650.0</v>
      </c>
      <c r="AI29" s="33">
        <v>23825.0</v>
      </c>
      <c r="AJ29" s="24">
        <v>71475.0</v>
      </c>
      <c r="AK29" s="41">
        <f t="shared" ref="AK29:AL29" si="85">SUM(AE29+AG29+AI29)</f>
        <v>119125</v>
      </c>
      <c r="AL29" s="42">
        <f t="shared" si="85"/>
        <v>119125</v>
      </c>
      <c r="AM29" s="42">
        <f t="shared" ref="AM29:AM34" si="92">AK29-AL29</f>
        <v>0</v>
      </c>
      <c r="AO29" s="41">
        <f t="shared" ref="AO29:AP29" si="86">SUM(AK29+AB29+S29+I29)</f>
        <v>405025</v>
      </c>
      <c r="AP29" s="42">
        <f t="shared" si="86"/>
        <v>405025</v>
      </c>
      <c r="AQ29" s="42">
        <f t="shared" ref="AQ29:AQ37" si="94">AO29-AP29</f>
        <v>0</v>
      </c>
    </row>
    <row r="30">
      <c r="B30" s="20" t="s">
        <v>58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M30" s="33">
        <v>8000.0</v>
      </c>
      <c r="N30" s="7">
        <v>0.0</v>
      </c>
      <c r="O30" s="33">
        <v>8000.0</v>
      </c>
      <c r="P30" s="7">
        <v>0.0</v>
      </c>
      <c r="Q30" s="33">
        <v>8000.0</v>
      </c>
      <c r="R30" s="63"/>
      <c r="S30" s="41">
        <f t="shared" ref="S30:T30" si="87">SUM(M30+O30+Q30)</f>
        <v>24000</v>
      </c>
      <c r="T30" s="42">
        <f t="shared" si="87"/>
        <v>0</v>
      </c>
      <c r="U30" s="42">
        <f t="shared" si="88"/>
        <v>24000</v>
      </c>
      <c r="V30" s="33">
        <v>8000.0</v>
      </c>
      <c r="W30" s="54"/>
      <c r="X30" s="33">
        <v>8000.0</v>
      </c>
      <c r="Y30" s="7">
        <v>0.0</v>
      </c>
      <c r="Z30" s="33">
        <v>8000.0</v>
      </c>
      <c r="AA30" s="21">
        <v>32000.0</v>
      </c>
      <c r="AB30" s="41">
        <f t="shared" ref="AB30:AC30" si="89">SUM(V30+X30+Z30)</f>
        <v>24000</v>
      </c>
      <c r="AC30" s="42">
        <f t="shared" si="89"/>
        <v>32000</v>
      </c>
      <c r="AD30" s="42">
        <f t="shared" si="90"/>
        <v>-8000</v>
      </c>
      <c r="AE30" s="62">
        <v>8000.0</v>
      </c>
      <c r="AF30" s="21">
        <v>16000.0</v>
      </c>
      <c r="AG30" s="62">
        <v>8000.0</v>
      </c>
      <c r="AH30" s="54"/>
      <c r="AI30" s="33">
        <v>8000.0</v>
      </c>
      <c r="AJ30" s="57">
        <v>20000.0</v>
      </c>
      <c r="AK30" s="41">
        <f t="shared" ref="AK30:AL30" si="91">SUM(AE30+AG30+AI30)</f>
        <v>24000</v>
      </c>
      <c r="AL30" s="42">
        <f t="shared" si="91"/>
        <v>36000</v>
      </c>
      <c r="AM30" s="42">
        <f t="shared" si="92"/>
        <v>-12000</v>
      </c>
      <c r="AO30" s="41">
        <f t="shared" ref="AO30:AP30" si="93">SUM(AK30+AB30+S30+I30)</f>
        <v>72000</v>
      </c>
      <c r="AP30" s="42">
        <f t="shared" si="93"/>
        <v>68000</v>
      </c>
      <c r="AQ30" s="42">
        <f t="shared" si="94"/>
        <v>4000</v>
      </c>
    </row>
    <row r="31">
      <c r="B31" s="19" t="s">
        <v>59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M31" s="33">
        <v>0.0</v>
      </c>
      <c r="N31" s="7">
        <v>0.0</v>
      </c>
      <c r="O31" s="33">
        <v>10000.0</v>
      </c>
      <c r="P31" s="7">
        <v>0.0</v>
      </c>
      <c r="Q31" s="33">
        <v>10000.0</v>
      </c>
      <c r="R31" s="54"/>
      <c r="S31" s="41">
        <f t="shared" ref="S31:T31" si="95">SUM(M31+O31+Q31)</f>
        <v>20000</v>
      </c>
      <c r="T31" s="40">
        <f t="shared" si="95"/>
        <v>0</v>
      </c>
      <c r="U31" s="41">
        <f t="shared" si="88"/>
        <v>20000</v>
      </c>
      <c r="V31" s="33">
        <v>0.0</v>
      </c>
      <c r="W31" s="21">
        <v>6830.0</v>
      </c>
      <c r="X31" s="33">
        <v>10000.0</v>
      </c>
      <c r="Y31" s="7">
        <v>0.0</v>
      </c>
      <c r="Z31" s="33">
        <v>10000.0</v>
      </c>
      <c r="AA31" s="21">
        <v>22075.0</v>
      </c>
      <c r="AB31" s="41">
        <f t="shared" ref="AB31:AC31" si="96">SUM(V31+X31+Z31)</f>
        <v>20000</v>
      </c>
      <c r="AC31" s="42">
        <f t="shared" si="96"/>
        <v>28905</v>
      </c>
      <c r="AD31" s="42">
        <f t="shared" si="90"/>
        <v>-8905</v>
      </c>
      <c r="AE31" s="62">
        <v>0.0</v>
      </c>
      <c r="AF31" s="21">
        <v>12965.0</v>
      </c>
      <c r="AG31" s="62">
        <v>0.0</v>
      </c>
      <c r="AH31" s="54"/>
      <c r="AI31" s="33">
        <v>0.0</v>
      </c>
      <c r="AJ31" s="64"/>
      <c r="AK31" s="41">
        <f t="shared" ref="AK31:AL31" si="97">SUM(AE31+AG31+AI31)</f>
        <v>0</v>
      </c>
      <c r="AL31" s="42">
        <f t="shared" si="97"/>
        <v>12965</v>
      </c>
      <c r="AM31" s="42">
        <f t="shared" si="92"/>
        <v>-12965</v>
      </c>
      <c r="AO31" s="41">
        <f t="shared" ref="AO31:AP31" si="98">SUM(AK31+AB31+S31+I31)</f>
        <v>40000</v>
      </c>
      <c r="AP31" s="42">
        <f t="shared" si="98"/>
        <v>41870</v>
      </c>
      <c r="AQ31" s="42">
        <f t="shared" si="94"/>
        <v>-1870</v>
      </c>
    </row>
    <row r="32">
      <c r="B32" s="19" t="s">
        <v>60</v>
      </c>
      <c r="C32" s="7">
        <v>0.0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M32" s="33">
        <v>0.0</v>
      </c>
      <c r="N32" s="7">
        <v>0.0</v>
      </c>
      <c r="O32" s="33">
        <v>9988.0</v>
      </c>
      <c r="P32" s="7">
        <v>0.0</v>
      </c>
      <c r="Q32" s="33">
        <v>0.0</v>
      </c>
      <c r="R32" s="54"/>
      <c r="S32" s="41">
        <f t="shared" ref="S32:T32" si="99">SUM(M32+O32+Q32)</f>
        <v>9988</v>
      </c>
      <c r="T32" s="40">
        <f t="shared" si="99"/>
        <v>0</v>
      </c>
      <c r="U32" s="41">
        <f t="shared" si="88"/>
        <v>9988</v>
      </c>
      <c r="V32" s="33">
        <v>0.0</v>
      </c>
      <c r="W32" s="54"/>
      <c r="X32" s="33">
        <v>0.0</v>
      </c>
      <c r="Y32" s="7">
        <v>0.0</v>
      </c>
      <c r="Z32" s="33">
        <v>9987.0</v>
      </c>
      <c r="AA32" s="21">
        <v>10000.0</v>
      </c>
      <c r="AB32" s="41">
        <f t="shared" ref="AB32:AC32" si="100">SUM(V32+X32+Z32)</f>
        <v>9987</v>
      </c>
      <c r="AC32" s="42">
        <f t="shared" si="100"/>
        <v>10000</v>
      </c>
      <c r="AD32" s="42">
        <f t="shared" si="90"/>
        <v>-13</v>
      </c>
      <c r="AE32" s="62">
        <v>0.0</v>
      </c>
      <c r="AF32" s="21">
        <v>9500.0</v>
      </c>
      <c r="AG32" s="62">
        <v>0.0</v>
      </c>
      <c r="AH32" s="54"/>
      <c r="AI32" s="33">
        <v>0.0</v>
      </c>
      <c r="AJ32" s="64"/>
      <c r="AK32" s="41">
        <f t="shared" ref="AK32:AL32" si="101">SUM(AE32+AG32+AI32)</f>
        <v>0</v>
      </c>
      <c r="AL32" s="42">
        <f t="shared" si="101"/>
        <v>9500</v>
      </c>
      <c r="AM32" s="42">
        <f t="shared" si="92"/>
        <v>-9500</v>
      </c>
      <c r="AO32" s="41">
        <f t="shared" ref="AO32:AP32" si="102">SUM(AK32+AB32+S32+I32)</f>
        <v>19975</v>
      </c>
      <c r="AP32" s="42">
        <f t="shared" si="102"/>
        <v>19500</v>
      </c>
      <c r="AQ32" s="42">
        <f t="shared" si="94"/>
        <v>475</v>
      </c>
    </row>
    <row r="33">
      <c r="B33" s="65" t="s">
        <v>61</v>
      </c>
      <c r="C33" s="7">
        <v>0.0</v>
      </c>
      <c r="D33" s="7">
        <v>0.0</v>
      </c>
      <c r="E33" s="7">
        <v>0.0</v>
      </c>
      <c r="F33" s="7">
        <v>0.0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M33" s="33">
        <v>3000.0</v>
      </c>
      <c r="N33" s="7">
        <v>0.0</v>
      </c>
      <c r="O33" s="33">
        <v>3000.0</v>
      </c>
      <c r="Q33" s="33">
        <v>3000.0</v>
      </c>
      <c r="R33" s="54"/>
      <c r="S33" s="41">
        <f t="shared" ref="S33:T33" si="103">SUM(M33+O33+Q33)</f>
        <v>9000</v>
      </c>
      <c r="T33" s="40">
        <f t="shared" si="103"/>
        <v>0</v>
      </c>
      <c r="U33" s="41">
        <f t="shared" si="88"/>
        <v>9000</v>
      </c>
      <c r="V33" s="33">
        <v>3000.0</v>
      </c>
      <c r="W33" s="54"/>
      <c r="X33" s="33">
        <v>3000.0</v>
      </c>
      <c r="Y33" s="7">
        <v>0.0</v>
      </c>
      <c r="Z33" s="33">
        <v>3000.0</v>
      </c>
      <c r="AA33" s="54"/>
      <c r="AB33" s="41">
        <f t="shared" ref="AB33:AC33" si="104">SUM(V33+X33+Z33)</f>
        <v>9000</v>
      </c>
      <c r="AC33" s="41">
        <f t="shared" si="104"/>
        <v>0</v>
      </c>
      <c r="AD33" s="41">
        <f t="shared" si="90"/>
        <v>9000</v>
      </c>
      <c r="AE33" s="62">
        <v>3000.0</v>
      </c>
      <c r="AF33" s="54"/>
      <c r="AG33" s="62">
        <v>3000.0</v>
      </c>
      <c r="AH33" s="54"/>
      <c r="AI33" s="33">
        <v>3000.0</v>
      </c>
      <c r="AJ33" s="57">
        <v>26690.0</v>
      </c>
      <c r="AK33" s="41">
        <f t="shared" ref="AK33:AL33" si="105">SUM(AE33+AG33+AI33)</f>
        <v>9000</v>
      </c>
      <c r="AL33" s="42">
        <f t="shared" si="105"/>
        <v>26690</v>
      </c>
      <c r="AM33" s="42">
        <f t="shared" si="92"/>
        <v>-17690</v>
      </c>
      <c r="AO33" s="41">
        <f t="shared" ref="AO33:AP33" si="106">SUM(AK33+AB33+S33+I33)</f>
        <v>27000</v>
      </c>
      <c r="AP33" s="42">
        <f t="shared" si="106"/>
        <v>26690</v>
      </c>
      <c r="AQ33" s="42">
        <f t="shared" si="94"/>
        <v>310</v>
      </c>
    </row>
    <row r="34">
      <c r="B34" s="7" t="s">
        <v>62</v>
      </c>
      <c r="C34" s="7">
        <v>0.0</v>
      </c>
      <c r="D34" s="7">
        <v>0.0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M34" s="17">
        <f t="shared" ref="M34:T34" si="107">SUM(M29:M33)</f>
        <v>58650</v>
      </c>
      <c r="N34" s="17">
        <f t="shared" si="107"/>
        <v>0</v>
      </c>
      <c r="O34" s="17">
        <f t="shared" si="107"/>
        <v>78638</v>
      </c>
      <c r="P34" s="18">
        <f t="shared" si="107"/>
        <v>47650</v>
      </c>
      <c r="Q34" s="17">
        <f t="shared" si="107"/>
        <v>68650</v>
      </c>
      <c r="R34" s="63">
        <f t="shared" si="107"/>
        <v>47650</v>
      </c>
      <c r="S34" s="41">
        <f t="shared" si="107"/>
        <v>205938</v>
      </c>
      <c r="T34" s="42">
        <f t="shared" si="107"/>
        <v>95300</v>
      </c>
      <c r="U34" s="42">
        <f t="shared" si="88"/>
        <v>110638</v>
      </c>
      <c r="V34" s="17">
        <f t="shared" ref="V34:AC34" si="108">SUM(V29:V33)</f>
        <v>58650</v>
      </c>
      <c r="W34" s="18">
        <f t="shared" si="108"/>
        <v>102130</v>
      </c>
      <c r="X34" s="17">
        <f t="shared" si="108"/>
        <v>68650</v>
      </c>
      <c r="Y34" s="17">
        <f t="shared" si="108"/>
        <v>0</v>
      </c>
      <c r="Z34" s="17">
        <f t="shared" si="108"/>
        <v>78637</v>
      </c>
      <c r="AA34" s="18">
        <f t="shared" si="108"/>
        <v>159375</v>
      </c>
      <c r="AB34" s="41">
        <f t="shared" si="108"/>
        <v>205937</v>
      </c>
      <c r="AC34" s="42">
        <f t="shared" si="108"/>
        <v>261505</v>
      </c>
      <c r="AD34" s="42">
        <f t="shared" si="90"/>
        <v>-55568</v>
      </c>
      <c r="AE34" s="17">
        <f t="shared" ref="AE34:AL34" si="109">SUM(AE29:AE33)</f>
        <v>58650</v>
      </c>
      <c r="AF34" s="17">
        <f t="shared" si="109"/>
        <v>38465</v>
      </c>
      <c r="AG34" s="17">
        <f t="shared" si="109"/>
        <v>58650</v>
      </c>
      <c r="AH34" s="18">
        <f t="shared" si="109"/>
        <v>47650</v>
      </c>
      <c r="AI34" s="17">
        <f t="shared" si="109"/>
        <v>34825</v>
      </c>
      <c r="AJ34" s="18">
        <f t="shared" si="109"/>
        <v>118165</v>
      </c>
      <c r="AK34" s="41">
        <f t="shared" si="109"/>
        <v>152125</v>
      </c>
      <c r="AL34" s="42">
        <f t="shared" si="109"/>
        <v>204280</v>
      </c>
      <c r="AM34" s="18">
        <f t="shared" si="92"/>
        <v>-52155</v>
      </c>
      <c r="AO34" s="41">
        <f t="shared" ref="AO34:AP34" si="110">SUM(AO29:AO33)</f>
        <v>564000</v>
      </c>
      <c r="AP34" s="48">
        <f t="shared" si="110"/>
        <v>561085</v>
      </c>
      <c r="AQ34" s="42">
        <f t="shared" si="94"/>
        <v>2915</v>
      </c>
    </row>
    <row r="35">
      <c r="A35" s="3" t="s">
        <v>63</v>
      </c>
      <c r="B35" s="66" t="s">
        <v>64</v>
      </c>
      <c r="C35" s="7">
        <v>0.0</v>
      </c>
      <c r="D35" s="7">
        <v>0.0</v>
      </c>
      <c r="E35" s="7">
        <v>0.0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67">
        <v>0.0</v>
      </c>
      <c r="L35" s="32"/>
      <c r="M35" s="68">
        <v>0.0</v>
      </c>
      <c r="N35" s="67">
        <v>0.0</v>
      </c>
      <c r="O35" s="68">
        <v>1200000.0</v>
      </c>
      <c r="P35" s="69">
        <v>0.0</v>
      </c>
      <c r="Q35" s="68">
        <v>0.0</v>
      </c>
      <c r="R35" s="67">
        <v>474027.0</v>
      </c>
      <c r="S35" s="70">
        <f t="shared" ref="S35:S36" si="114">SUM(M35+O35+Q35)</f>
        <v>1200000</v>
      </c>
      <c r="T35" s="67">
        <v>474027.0</v>
      </c>
      <c r="U35" s="70">
        <f t="shared" si="88"/>
        <v>725973</v>
      </c>
      <c r="V35" s="31">
        <v>0.0</v>
      </c>
      <c r="W35" s="67">
        <v>0.0</v>
      </c>
      <c r="X35" s="68">
        <v>0.0</v>
      </c>
      <c r="Y35" s="67">
        <v>767295.0</v>
      </c>
      <c r="Z35" s="68">
        <v>0.0</v>
      </c>
      <c r="AA35" s="67">
        <v>0.0</v>
      </c>
      <c r="AB35" s="70">
        <f t="shared" ref="AB35:AC35" si="111">SUM(V35+X35+Z35)</f>
        <v>0</v>
      </c>
      <c r="AC35" s="70">
        <f t="shared" si="111"/>
        <v>767295</v>
      </c>
      <c r="AD35" s="70">
        <f t="shared" si="90"/>
        <v>-767295</v>
      </c>
      <c r="AE35" s="68">
        <v>0.0</v>
      </c>
      <c r="AF35" s="67">
        <v>0.0</v>
      </c>
      <c r="AG35" s="68">
        <v>0.0</v>
      </c>
      <c r="AH35" s="67">
        <v>0.0</v>
      </c>
      <c r="AI35" s="68">
        <v>0.0</v>
      </c>
      <c r="AJ35" s="67">
        <v>0.0</v>
      </c>
      <c r="AK35" s="70">
        <f t="shared" ref="AK35:AL35" si="112">SUM(AE35+AG35+AI35)</f>
        <v>0</v>
      </c>
      <c r="AL35" s="71">
        <f t="shared" si="112"/>
        <v>0</v>
      </c>
      <c r="AM35" s="67">
        <v>0.0</v>
      </c>
      <c r="AN35" s="32"/>
      <c r="AO35" s="70">
        <f t="shared" ref="AO35:AP35" si="113">SUM(AK35+AB35+S35+I35)</f>
        <v>1200000</v>
      </c>
      <c r="AP35" s="71">
        <f t="shared" si="113"/>
        <v>1241322</v>
      </c>
      <c r="AQ35" s="71">
        <f t="shared" si="94"/>
        <v>-41322</v>
      </c>
    </row>
    <row r="36">
      <c r="A36" s="3" t="s">
        <v>65</v>
      </c>
      <c r="B36" s="8" t="s">
        <v>66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32"/>
      <c r="M36" s="31">
        <v>667826.0</v>
      </c>
      <c r="N36" s="67">
        <v>0.0</v>
      </c>
      <c r="O36" s="31">
        <v>0.0</v>
      </c>
      <c r="P36" s="72">
        <v>667826.0</v>
      </c>
      <c r="Q36" s="31">
        <v>0.0</v>
      </c>
      <c r="R36" s="67">
        <v>0.0</v>
      </c>
      <c r="S36" s="70">
        <f t="shared" si="114"/>
        <v>667826</v>
      </c>
      <c r="T36" s="73">
        <f>SUM(N36+P36+R36)</f>
        <v>667826</v>
      </c>
      <c r="U36" s="70">
        <f t="shared" si="88"/>
        <v>0</v>
      </c>
      <c r="V36" s="31">
        <v>0.0</v>
      </c>
      <c r="W36" s="67">
        <v>0.0</v>
      </c>
      <c r="X36" s="31">
        <v>0.0</v>
      </c>
      <c r="Y36" s="67">
        <v>0.0</v>
      </c>
      <c r="Z36" s="31">
        <v>0.0</v>
      </c>
      <c r="AA36" s="67">
        <v>0.0</v>
      </c>
      <c r="AB36" s="70">
        <f t="shared" ref="AB36:AC36" si="115">SUM(V36+X36+Z36)</f>
        <v>0</v>
      </c>
      <c r="AC36" s="70">
        <f t="shared" si="115"/>
        <v>0</v>
      </c>
      <c r="AD36" s="70">
        <f t="shared" si="90"/>
        <v>0</v>
      </c>
      <c r="AE36" s="31">
        <v>0.0</v>
      </c>
      <c r="AF36" s="67">
        <v>0.0</v>
      </c>
      <c r="AG36" s="31">
        <v>0.0</v>
      </c>
      <c r="AH36" s="67">
        <v>0.0</v>
      </c>
      <c r="AI36" s="31">
        <v>0.0</v>
      </c>
      <c r="AJ36" s="67">
        <v>0.0</v>
      </c>
      <c r="AK36" s="70">
        <f t="shared" ref="AK36:AL36" si="116">SUM(AE36+AG36+AI36)</f>
        <v>0</v>
      </c>
      <c r="AL36" s="71">
        <f t="shared" si="116"/>
        <v>0</v>
      </c>
      <c r="AM36" s="67">
        <v>0.0</v>
      </c>
      <c r="AN36" s="32"/>
      <c r="AO36" s="70">
        <f t="shared" ref="AO36:AP36" si="117">SUM(AK36+AB36+S36+I36)</f>
        <v>667826</v>
      </c>
      <c r="AP36" s="71">
        <f t="shared" si="117"/>
        <v>667826</v>
      </c>
      <c r="AQ36" s="71">
        <f t="shared" si="94"/>
        <v>0</v>
      </c>
    </row>
    <row r="37">
      <c r="A37" s="74" t="s">
        <v>67</v>
      </c>
      <c r="B37" s="75"/>
      <c r="C37" s="75"/>
      <c r="D37" s="75"/>
      <c r="E37" s="74">
        <v>0.0</v>
      </c>
      <c r="F37" s="74">
        <v>0.0</v>
      </c>
      <c r="G37" s="74">
        <v>0.0</v>
      </c>
      <c r="H37" s="74">
        <v>0.0</v>
      </c>
      <c r="I37" s="74">
        <v>0.0</v>
      </c>
      <c r="J37" s="74">
        <v>0.0</v>
      </c>
      <c r="K37" s="74">
        <v>0.0</v>
      </c>
      <c r="L37" s="75"/>
      <c r="M37" s="76">
        <f>SUM(M36+M35+M34+M27+M21+M15+M7)</f>
        <v>988267</v>
      </c>
      <c r="N37" s="75">
        <f>SUM(N4:N36)</f>
        <v>0</v>
      </c>
      <c r="O37" s="76">
        <f t="shared" ref="O37:T37" si="118">SUM(O36+O35+O34+O27+O21+O15+O7)</f>
        <v>1540429</v>
      </c>
      <c r="P37" s="77">
        <f t="shared" si="118"/>
        <v>949796</v>
      </c>
      <c r="Q37" s="78">
        <f t="shared" si="118"/>
        <v>360441</v>
      </c>
      <c r="R37" s="77">
        <f t="shared" si="118"/>
        <v>755997</v>
      </c>
      <c r="S37" s="78">
        <f t="shared" si="118"/>
        <v>2889137</v>
      </c>
      <c r="T37" s="77">
        <f t="shared" si="118"/>
        <v>1705793</v>
      </c>
      <c r="U37" s="77">
        <f t="shared" si="88"/>
        <v>1183344</v>
      </c>
      <c r="V37" s="78">
        <f t="shared" ref="V37:AC37" si="119">SUM(V36+V35+V34+V27+V21+V15+V7)</f>
        <v>709659</v>
      </c>
      <c r="W37" s="77">
        <f t="shared" si="119"/>
        <v>631896</v>
      </c>
      <c r="X37" s="78">
        <f t="shared" si="119"/>
        <v>330441</v>
      </c>
      <c r="Y37" s="78">
        <f t="shared" si="119"/>
        <v>767295</v>
      </c>
      <c r="Z37" s="78">
        <f t="shared" si="119"/>
        <v>340428</v>
      </c>
      <c r="AA37" s="77">
        <f t="shared" si="119"/>
        <v>689298</v>
      </c>
      <c r="AB37" s="78">
        <f t="shared" si="119"/>
        <v>1380528</v>
      </c>
      <c r="AC37" s="77">
        <f t="shared" si="119"/>
        <v>2088489</v>
      </c>
      <c r="AD37" s="77">
        <f t="shared" si="90"/>
        <v>-707961</v>
      </c>
      <c r="AE37" s="78">
        <f t="shared" ref="AE37:AL37" si="120">SUM(AE36+AE35+AE34+AE27+AE21+AE15+AE7)</f>
        <v>350441</v>
      </c>
      <c r="AF37" s="77">
        <f t="shared" si="120"/>
        <v>122260</v>
      </c>
      <c r="AG37" s="78">
        <f t="shared" si="120"/>
        <v>320441</v>
      </c>
      <c r="AH37" s="77">
        <f t="shared" si="120"/>
        <v>281970</v>
      </c>
      <c r="AI37" s="78">
        <f t="shared" si="120"/>
        <v>188456</v>
      </c>
      <c r="AJ37" s="77">
        <f t="shared" si="120"/>
        <v>941848</v>
      </c>
      <c r="AK37" s="78">
        <f t="shared" si="120"/>
        <v>859338</v>
      </c>
      <c r="AL37" s="77">
        <f t="shared" si="120"/>
        <v>1346078</v>
      </c>
      <c r="AM37" s="77">
        <f>AK37-AL37</f>
        <v>-486740</v>
      </c>
      <c r="AN37" s="75"/>
      <c r="AO37" s="75">
        <f t="shared" ref="AO37:AP37" si="121">SUM(AO7+AO15+AO21+AO27+AO34+AO35+AO36)</f>
        <v>5120003</v>
      </c>
      <c r="AP37" s="79">
        <f t="shared" si="121"/>
        <v>5140360</v>
      </c>
      <c r="AQ37" s="79">
        <f t="shared" si="94"/>
        <v>-20357</v>
      </c>
    </row>
  </sheetData>
  <mergeCells count="19">
    <mergeCell ref="I2:I3"/>
    <mergeCell ref="J2:J3"/>
    <mergeCell ref="K2:K3"/>
    <mergeCell ref="M2:N2"/>
    <mergeCell ref="O2:P2"/>
    <mergeCell ref="Q2:R2"/>
    <mergeCell ref="V2:W2"/>
    <mergeCell ref="X2:Y2"/>
    <mergeCell ref="Z2:AA2"/>
    <mergeCell ref="AE2:AF2"/>
    <mergeCell ref="AG2:AH2"/>
    <mergeCell ref="C1:J1"/>
    <mergeCell ref="L1:T1"/>
    <mergeCell ref="V1:AD1"/>
    <mergeCell ref="AF1:AM1"/>
    <mergeCell ref="C2:D2"/>
    <mergeCell ref="E2:F2"/>
    <mergeCell ref="G2:H2"/>
    <mergeCell ref="AI2:A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3.75"/>
    <col customWidth="1" min="3" max="3" width="19.63"/>
    <col customWidth="1" min="4" max="4" width="24.0"/>
    <col customWidth="1" min="5" max="5" width="16.25"/>
    <col customWidth="1" min="8" max="8" width="15.0"/>
    <col customWidth="1" min="11" max="11" width="14.25"/>
  </cols>
  <sheetData>
    <row r="3">
      <c r="A3" s="7" t="s">
        <v>68</v>
      </c>
      <c r="B3" s="7" t="s">
        <v>69</v>
      </c>
      <c r="C3" s="7" t="s">
        <v>70</v>
      </c>
      <c r="D3" s="7" t="s">
        <v>71</v>
      </c>
      <c r="E3" s="7" t="s">
        <v>72</v>
      </c>
      <c r="F3" s="7" t="s">
        <v>73</v>
      </c>
    </row>
    <row r="4">
      <c r="A4" s="7" t="s">
        <v>24</v>
      </c>
      <c r="B4" s="7">
        <v>179.6</v>
      </c>
      <c r="C4" s="7">
        <v>175.1</v>
      </c>
      <c r="D4" s="7" t="s">
        <v>74</v>
      </c>
      <c r="E4" s="80">
        <v>0.975</v>
      </c>
      <c r="F4" s="80">
        <v>0.025</v>
      </c>
      <c r="I4" s="81"/>
      <c r="L4" s="81"/>
    </row>
    <row r="5">
      <c r="A5" s="7" t="s">
        <v>32</v>
      </c>
      <c r="B5" s="82">
        <v>1757.95</v>
      </c>
      <c r="C5" s="82">
        <v>1801.88</v>
      </c>
      <c r="D5" s="7" t="s">
        <v>75</v>
      </c>
      <c r="E5" s="80">
        <v>1.025</v>
      </c>
      <c r="F5" s="80">
        <v>-0.025</v>
      </c>
      <c r="I5" s="81"/>
    </row>
    <row r="6">
      <c r="A6" s="7" t="s">
        <v>41</v>
      </c>
      <c r="B6" s="7">
        <v>295.03</v>
      </c>
      <c r="C6" s="7">
        <v>295.88</v>
      </c>
      <c r="D6" s="7" t="s">
        <v>76</v>
      </c>
      <c r="E6" s="80">
        <v>1.003</v>
      </c>
      <c r="F6" s="80">
        <v>-0.003</v>
      </c>
    </row>
    <row r="7">
      <c r="A7" s="7" t="s">
        <v>48</v>
      </c>
      <c r="B7" s="7">
        <v>455.6</v>
      </c>
      <c r="C7" s="7">
        <v>397.27</v>
      </c>
      <c r="D7" s="7" t="s">
        <v>77</v>
      </c>
      <c r="E7" s="80">
        <v>0.872</v>
      </c>
      <c r="F7" s="80">
        <v>0.128</v>
      </c>
    </row>
    <row r="8">
      <c r="A8" s="7" t="s">
        <v>55</v>
      </c>
      <c r="B8" s="82">
        <v>1200.0</v>
      </c>
      <c r="C8" s="82">
        <v>1241.32</v>
      </c>
      <c r="D8" s="7" t="s">
        <v>78</v>
      </c>
      <c r="E8" s="80">
        <v>1.034</v>
      </c>
      <c r="F8" s="80">
        <v>-0.034</v>
      </c>
    </row>
    <row r="9">
      <c r="A9" s="7" t="s">
        <v>63</v>
      </c>
      <c r="B9" s="7">
        <v>667.83</v>
      </c>
      <c r="C9" s="7">
        <v>667.83</v>
      </c>
      <c r="D9" s="7" t="s">
        <v>79</v>
      </c>
      <c r="E9" s="80">
        <v>1.0</v>
      </c>
      <c r="F9" s="80">
        <v>0.0</v>
      </c>
    </row>
    <row r="10">
      <c r="A10" s="7" t="s">
        <v>80</v>
      </c>
      <c r="B10" s="82">
        <v>5120.0</v>
      </c>
      <c r="C10" s="82">
        <v>5140.36</v>
      </c>
      <c r="D10" s="7" t="s">
        <v>81</v>
      </c>
      <c r="E10" s="80">
        <v>1.004</v>
      </c>
      <c r="F10" s="80">
        <v>-0.004</v>
      </c>
    </row>
    <row r="12">
      <c r="D12" s="8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41.88"/>
    <col customWidth="1" min="3" max="3" width="17.75"/>
    <col customWidth="1" min="4" max="4" width="18.63"/>
    <col customWidth="1" min="5" max="5" width="20.25"/>
    <col customWidth="1" min="6" max="6" width="19.0"/>
    <col customWidth="1" min="7" max="7" width="5.13"/>
  </cols>
  <sheetData>
    <row r="2">
      <c r="A2" s="3" t="s">
        <v>4</v>
      </c>
      <c r="B2" s="3" t="s">
        <v>5</v>
      </c>
      <c r="C2" s="3" t="s">
        <v>82</v>
      </c>
      <c r="D2" s="3" t="s">
        <v>83</v>
      </c>
      <c r="E2" s="3" t="s">
        <v>84</v>
      </c>
      <c r="F2" s="3" t="s">
        <v>85</v>
      </c>
      <c r="H2" s="83" t="s">
        <v>86</v>
      </c>
      <c r="K2" s="84" t="s">
        <v>87</v>
      </c>
      <c r="N2" s="84" t="s">
        <v>88</v>
      </c>
      <c r="Q2" s="84" t="s">
        <v>89</v>
      </c>
    </row>
    <row r="3">
      <c r="H3" s="7" t="s">
        <v>90</v>
      </c>
      <c r="I3" s="7" t="s">
        <v>91</v>
      </c>
      <c r="J3" s="83" t="s">
        <v>11</v>
      </c>
      <c r="K3" s="85" t="s">
        <v>9</v>
      </c>
      <c r="L3" s="85" t="s">
        <v>10</v>
      </c>
      <c r="M3" s="85" t="s">
        <v>11</v>
      </c>
      <c r="N3" s="85" t="s">
        <v>9</v>
      </c>
      <c r="O3" s="86" t="s">
        <v>10</v>
      </c>
      <c r="P3" s="85" t="s">
        <v>11</v>
      </c>
      <c r="Q3" s="85" t="s">
        <v>9</v>
      </c>
      <c r="R3" s="85" t="s">
        <v>10</v>
      </c>
      <c r="S3" s="85" t="s">
        <v>11</v>
      </c>
    </row>
    <row r="4">
      <c r="B4" s="19" t="s">
        <v>29</v>
      </c>
      <c r="C4" s="7">
        <v>0.0</v>
      </c>
      <c r="D4" s="7">
        <v>5700.0</v>
      </c>
      <c r="E4" s="7">
        <v>5700.0</v>
      </c>
      <c r="F4" s="7">
        <v>5700.0</v>
      </c>
      <c r="H4" s="7" t="s">
        <v>92</v>
      </c>
      <c r="I4" s="7">
        <v>0.0</v>
      </c>
      <c r="J4" s="7">
        <v>0.0</v>
      </c>
      <c r="L4" s="7">
        <v>0.0</v>
      </c>
      <c r="M4" s="17">
        <f t="shared" ref="M4:M10" si="1">D4-L4</f>
        <v>5700</v>
      </c>
      <c r="O4" s="7">
        <v>0.0</v>
      </c>
      <c r="P4" s="17">
        <f t="shared" ref="P4:P10" si="2">E4-O4</f>
        <v>5700</v>
      </c>
      <c r="R4" s="7">
        <v>12980.0</v>
      </c>
      <c r="S4" s="17">
        <f t="shared" ref="S4:S10" si="3">F4-R4</f>
        <v>-7280</v>
      </c>
    </row>
    <row r="5">
      <c r="B5" s="36" t="s">
        <v>93</v>
      </c>
      <c r="C5" s="7">
        <v>0.0</v>
      </c>
      <c r="D5" s="7">
        <v>25200.0</v>
      </c>
      <c r="E5" s="7">
        <v>25200.0</v>
      </c>
      <c r="F5" s="7">
        <v>25200.0</v>
      </c>
      <c r="H5" s="7" t="s">
        <v>92</v>
      </c>
      <c r="I5" s="7">
        <v>0.0</v>
      </c>
      <c r="J5" s="7">
        <v>0.0</v>
      </c>
      <c r="L5" s="7">
        <v>0.0</v>
      </c>
      <c r="M5" s="17">
        <f t="shared" si="1"/>
        <v>25200</v>
      </c>
      <c r="O5" s="7">
        <v>25200.0</v>
      </c>
      <c r="P5" s="17">
        <f t="shared" si="2"/>
        <v>0</v>
      </c>
      <c r="R5" s="7">
        <v>46200.0</v>
      </c>
      <c r="S5" s="17">
        <f t="shared" si="3"/>
        <v>-21000</v>
      </c>
    </row>
    <row r="6">
      <c r="B6" s="36" t="s">
        <v>39</v>
      </c>
      <c r="C6" s="7">
        <v>0.0</v>
      </c>
      <c r="D6" s="7">
        <v>0.0</v>
      </c>
      <c r="E6" s="7">
        <v>368246.0</v>
      </c>
      <c r="F6" s="7">
        <v>0.0</v>
      </c>
      <c r="H6" s="7" t="s">
        <v>92</v>
      </c>
      <c r="I6" s="7">
        <v>0.0</v>
      </c>
      <c r="J6" s="7">
        <v>0.0</v>
      </c>
      <c r="L6" s="7">
        <v>0.0</v>
      </c>
      <c r="M6" s="17">
        <f t="shared" si="1"/>
        <v>0</v>
      </c>
      <c r="O6" s="7">
        <v>0.0</v>
      </c>
      <c r="P6" s="17">
        <f t="shared" si="2"/>
        <v>368246</v>
      </c>
      <c r="R6" s="7">
        <v>357884.0</v>
      </c>
      <c r="S6" s="17">
        <f t="shared" si="3"/>
        <v>-357884</v>
      </c>
    </row>
    <row r="7">
      <c r="B7" s="47" t="s">
        <v>46</v>
      </c>
      <c r="C7" s="7">
        <v>0.0</v>
      </c>
      <c r="E7" s="7">
        <v>20972.0</v>
      </c>
      <c r="H7" s="7" t="s">
        <v>92</v>
      </c>
      <c r="I7" s="7">
        <v>0.0</v>
      </c>
      <c r="J7" s="7">
        <v>0.0</v>
      </c>
      <c r="L7" s="7">
        <v>0.0</v>
      </c>
      <c r="M7" s="17">
        <f t="shared" si="1"/>
        <v>0</v>
      </c>
      <c r="O7" s="7">
        <v>0.0</v>
      </c>
      <c r="P7" s="17">
        <f t="shared" si="2"/>
        <v>20972</v>
      </c>
      <c r="R7" s="7">
        <v>20692.0</v>
      </c>
      <c r="S7" s="17">
        <f t="shared" si="3"/>
        <v>-20692</v>
      </c>
    </row>
    <row r="8">
      <c r="B8" s="7" t="s">
        <v>53</v>
      </c>
      <c r="C8" s="7">
        <v>0.0</v>
      </c>
      <c r="D8" s="7">
        <v>900.0</v>
      </c>
      <c r="E8" s="7">
        <v>900.0</v>
      </c>
      <c r="F8" s="7">
        <v>900.0</v>
      </c>
      <c r="H8" s="7" t="s">
        <v>92</v>
      </c>
      <c r="I8" s="7">
        <v>0.0</v>
      </c>
      <c r="J8" s="7">
        <v>0.0</v>
      </c>
      <c r="L8" s="7">
        <v>0.0</v>
      </c>
      <c r="M8" s="17">
        <f t="shared" si="1"/>
        <v>900</v>
      </c>
      <c r="O8" s="7">
        <v>900.0</v>
      </c>
      <c r="P8" s="17">
        <f t="shared" si="2"/>
        <v>0</v>
      </c>
      <c r="R8" s="7">
        <v>1500.0</v>
      </c>
      <c r="S8" s="17">
        <f t="shared" si="3"/>
        <v>-600</v>
      </c>
    </row>
    <row r="9">
      <c r="B9" s="20" t="s">
        <v>58</v>
      </c>
      <c r="C9" s="7">
        <v>0.0</v>
      </c>
      <c r="D9" s="7">
        <v>24000.0</v>
      </c>
      <c r="E9" s="7">
        <v>24000.0</v>
      </c>
      <c r="F9" s="7">
        <v>24000.0</v>
      </c>
      <c r="H9" s="7" t="s">
        <v>92</v>
      </c>
      <c r="I9" s="7">
        <v>0.0</v>
      </c>
      <c r="J9" s="7">
        <v>0.0</v>
      </c>
      <c r="L9" s="7">
        <v>0.0</v>
      </c>
      <c r="M9" s="17">
        <f t="shared" si="1"/>
        <v>24000</v>
      </c>
      <c r="O9" s="7">
        <v>32000.0</v>
      </c>
      <c r="P9" s="17">
        <f t="shared" si="2"/>
        <v>-8000</v>
      </c>
      <c r="R9" s="7">
        <v>36000.0</v>
      </c>
      <c r="S9" s="17">
        <f t="shared" si="3"/>
        <v>-12000</v>
      </c>
    </row>
    <row r="10">
      <c r="B10" s="87" t="s">
        <v>94</v>
      </c>
      <c r="C10" s="88">
        <f t="shared" ref="C10:F10" si="4">SUM(C4:C9)</f>
        <v>0</v>
      </c>
      <c r="D10" s="88">
        <f t="shared" si="4"/>
        <v>55800</v>
      </c>
      <c r="E10" s="88">
        <f t="shared" si="4"/>
        <v>445018</v>
      </c>
      <c r="F10" s="88">
        <f t="shared" si="4"/>
        <v>55800</v>
      </c>
      <c r="G10" s="88"/>
      <c r="H10" s="88"/>
      <c r="I10" s="88"/>
      <c r="J10" s="88"/>
      <c r="K10" s="88"/>
      <c r="L10" s="87">
        <v>0.0</v>
      </c>
      <c r="M10" s="88">
        <f t="shared" si="1"/>
        <v>55800</v>
      </c>
      <c r="N10" s="88"/>
      <c r="O10" s="88">
        <f>SUM(O4:O9)</f>
        <v>58100</v>
      </c>
      <c r="P10" s="88">
        <f t="shared" si="2"/>
        <v>386918</v>
      </c>
      <c r="Q10" s="88"/>
      <c r="R10" s="88">
        <f>SUM(R4:R9)</f>
        <v>475256</v>
      </c>
      <c r="S10" s="88">
        <f t="shared" si="3"/>
        <v>-419456</v>
      </c>
    </row>
    <row r="12">
      <c r="B12" s="7" t="s">
        <v>95</v>
      </c>
      <c r="C12" s="17">
        <f>SUM(O10+R10)</f>
        <v>533356</v>
      </c>
    </row>
    <row r="13">
      <c r="B13" s="7" t="s">
        <v>96</v>
      </c>
      <c r="C13" s="17">
        <f>SUM(D10+E10+F10)</f>
        <v>556618</v>
      </c>
    </row>
    <row r="14">
      <c r="B14" s="7" t="s">
        <v>97</v>
      </c>
      <c r="C14" s="17">
        <f>C13-C12</f>
        <v>23262</v>
      </c>
    </row>
  </sheetData>
  <mergeCells count="4">
    <mergeCell ref="H2:J2"/>
    <mergeCell ref="K2:M2"/>
    <mergeCell ref="N2:P2"/>
    <mergeCell ref="Q2:S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25"/>
    <col customWidth="1" min="3" max="3" width="25.0"/>
    <col customWidth="1" min="4" max="5" width="20.0"/>
    <col customWidth="1" min="6" max="6" width="17.5"/>
    <col customWidth="1" min="7" max="7" width="7.0"/>
    <col customWidth="1" min="22" max="22" width="20.88"/>
  </cols>
  <sheetData>
    <row r="1">
      <c r="G1" s="32"/>
    </row>
    <row r="2">
      <c r="G2" s="32"/>
      <c r="H2" s="83" t="s">
        <v>86</v>
      </c>
      <c r="K2" s="84" t="s">
        <v>87</v>
      </c>
      <c r="N2" s="84" t="s">
        <v>88</v>
      </c>
      <c r="Q2" s="84" t="s">
        <v>89</v>
      </c>
    </row>
    <row r="3">
      <c r="A3" s="3" t="s">
        <v>4</v>
      </c>
      <c r="B3" s="3" t="s">
        <v>5</v>
      </c>
      <c r="C3" s="3" t="s">
        <v>82</v>
      </c>
      <c r="D3" s="3" t="s">
        <v>83</v>
      </c>
      <c r="E3" s="3" t="s">
        <v>84</v>
      </c>
      <c r="F3" s="3" t="s">
        <v>85</v>
      </c>
      <c r="G3" s="67"/>
      <c r="H3" s="7" t="s">
        <v>90</v>
      </c>
      <c r="I3" s="7" t="s">
        <v>91</v>
      </c>
      <c r="J3" s="83" t="s">
        <v>11</v>
      </c>
      <c r="K3" s="85" t="s">
        <v>9</v>
      </c>
      <c r="L3" s="85" t="s">
        <v>10</v>
      </c>
      <c r="M3" s="85" t="s">
        <v>11</v>
      </c>
      <c r="N3" s="85" t="s">
        <v>9</v>
      </c>
      <c r="O3" s="85" t="s">
        <v>10</v>
      </c>
      <c r="P3" s="85" t="s">
        <v>11</v>
      </c>
      <c r="Q3" s="85" t="s">
        <v>9</v>
      </c>
      <c r="R3" s="85" t="s">
        <v>10</v>
      </c>
      <c r="S3" s="85" t="s">
        <v>11</v>
      </c>
      <c r="T3" s="32"/>
      <c r="U3" s="67"/>
      <c r="V3" s="67"/>
      <c r="W3" s="67"/>
    </row>
    <row r="4">
      <c r="A4" s="3" t="s">
        <v>24</v>
      </c>
      <c r="B4" s="8" t="s">
        <v>98</v>
      </c>
      <c r="C4" s="89"/>
      <c r="D4" s="89"/>
      <c r="E4" s="89"/>
      <c r="F4" s="89"/>
      <c r="G4" s="90"/>
      <c r="H4" s="85"/>
      <c r="I4" s="85"/>
      <c r="J4" s="91"/>
      <c r="K4" s="46"/>
      <c r="L4" s="46"/>
      <c r="M4" s="46"/>
      <c r="N4" s="46"/>
      <c r="O4" s="46"/>
      <c r="P4" s="46"/>
      <c r="Q4" s="46"/>
      <c r="R4" s="46"/>
      <c r="S4" s="46"/>
      <c r="T4" s="32"/>
      <c r="U4" s="32"/>
      <c r="V4" s="32"/>
      <c r="W4" s="32"/>
    </row>
    <row r="5">
      <c r="B5" s="92" t="s">
        <v>28</v>
      </c>
      <c r="C5" s="12">
        <v>0.0</v>
      </c>
      <c r="D5" s="12">
        <v>54930.0</v>
      </c>
      <c r="E5" s="12">
        <v>54930.0</v>
      </c>
      <c r="F5" s="93">
        <v>45775.0</v>
      </c>
      <c r="G5" s="94"/>
      <c r="I5" s="2"/>
      <c r="J5" s="2">
        <f>H5-I5</f>
        <v>0</v>
      </c>
      <c r="L5" s="7">
        <v>32260.0</v>
      </c>
      <c r="M5" s="7">
        <v>18310.0</v>
      </c>
      <c r="O5" s="7">
        <v>73240.0</v>
      </c>
      <c r="P5" s="7">
        <v>-18130.0</v>
      </c>
      <c r="R5" s="7">
        <v>45775.0</v>
      </c>
      <c r="S5" s="7">
        <v>0.0</v>
      </c>
    </row>
    <row r="6">
      <c r="B6" s="36" t="s">
        <v>34</v>
      </c>
      <c r="C6" s="95">
        <v>0.0</v>
      </c>
      <c r="D6" s="95">
        <v>162000.0</v>
      </c>
      <c r="E6" s="95">
        <v>162000.0</v>
      </c>
      <c r="F6" s="95">
        <v>135000.0</v>
      </c>
      <c r="G6" s="96"/>
      <c r="L6" s="7">
        <v>108000.0</v>
      </c>
      <c r="M6" s="17">
        <f t="shared" ref="M6:M9" si="1">D6-L6</f>
        <v>54000</v>
      </c>
      <c r="O6" s="7">
        <v>252000.0</v>
      </c>
      <c r="P6" s="17">
        <f t="shared" ref="P6:P9" si="2">E6-O6</f>
        <v>-90000</v>
      </c>
      <c r="R6" s="7">
        <v>157500.0</v>
      </c>
      <c r="S6" s="17">
        <f t="shared" ref="S6:S9" si="3">F6-R6</f>
        <v>-22500</v>
      </c>
    </row>
    <row r="7">
      <c r="B7" s="36" t="s">
        <v>35</v>
      </c>
      <c r="C7" s="95">
        <v>0.0</v>
      </c>
      <c r="D7" s="95">
        <v>204000.0</v>
      </c>
      <c r="E7" s="95">
        <v>204000.0</v>
      </c>
      <c r="F7" s="95">
        <v>1700000.0</v>
      </c>
      <c r="G7" s="96"/>
      <c r="L7" s="7">
        <v>136000.0</v>
      </c>
      <c r="M7" s="17">
        <f t="shared" si="1"/>
        <v>68000</v>
      </c>
      <c r="O7" s="7">
        <v>272000.0</v>
      </c>
      <c r="P7" s="17">
        <f t="shared" si="2"/>
        <v>-68000</v>
      </c>
      <c r="R7" s="7">
        <v>170000.0</v>
      </c>
      <c r="S7" s="17">
        <f t="shared" si="3"/>
        <v>1530000</v>
      </c>
    </row>
    <row r="8">
      <c r="B8" s="20" t="s">
        <v>37</v>
      </c>
      <c r="C8" s="97">
        <v>0.0</v>
      </c>
      <c r="D8" s="97">
        <v>54000.0</v>
      </c>
      <c r="E8" s="97">
        <v>54000.0</v>
      </c>
      <c r="F8" s="97">
        <v>54000.0</v>
      </c>
      <c r="G8" s="98"/>
      <c r="L8" s="7">
        <v>36000.0</v>
      </c>
      <c r="M8" s="17">
        <f t="shared" si="1"/>
        <v>18000</v>
      </c>
      <c r="O8" s="7">
        <v>72000.0</v>
      </c>
      <c r="P8" s="17">
        <f t="shared" si="2"/>
        <v>-18000</v>
      </c>
      <c r="R8" s="7">
        <v>45000.0</v>
      </c>
      <c r="S8" s="17">
        <f t="shared" si="3"/>
        <v>9000</v>
      </c>
    </row>
    <row r="9">
      <c r="B9" s="20" t="s">
        <v>38</v>
      </c>
      <c r="C9" s="97"/>
      <c r="D9" s="97">
        <v>43800.0</v>
      </c>
      <c r="E9" s="97">
        <v>43800.0</v>
      </c>
      <c r="F9" s="97">
        <v>36500.0</v>
      </c>
      <c r="G9" s="98"/>
      <c r="L9" s="7">
        <v>29200.0</v>
      </c>
      <c r="M9" s="17">
        <f t="shared" si="1"/>
        <v>14600</v>
      </c>
      <c r="O9" s="7">
        <v>58400.0</v>
      </c>
      <c r="P9" s="17">
        <f t="shared" si="2"/>
        <v>-14600</v>
      </c>
      <c r="R9" s="7">
        <v>36500.0</v>
      </c>
      <c r="S9" s="17">
        <f t="shared" si="3"/>
        <v>0</v>
      </c>
    </row>
    <row r="10">
      <c r="B10" s="99" t="s">
        <v>45</v>
      </c>
      <c r="C10" s="100"/>
      <c r="D10" s="100"/>
      <c r="E10" s="100"/>
      <c r="F10" s="100"/>
      <c r="G10" s="100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</row>
    <row r="11">
      <c r="B11" s="20" t="s">
        <v>51</v>
      </c>
      <c r="C11" s="97"/>
      <c r="D11" s="97">
        <v>135000.0</v>
      </c>
      <c r="E11" s="97">
        <v>135000.0</v>
      </c>
      <c r="F11" s="97">
        <v>112500.0</v>
      </c>
      <c r="G11" s="98"/>
      <c r="L11" s="7">
        <v>90000.0</v>
      </c>
      <c r="M11" s="17">
        <f t="shared" ref="M11:M24" si="4">D11-L11</f>
        <v>45000</v>
      </c>
      <c r="O11" s="7">
        <v>144000.0</v>
      </c>
      <c r="P11" s="17">
        <f t="shared" ref="P11:P22" si="5">E11-O11</f>
        <v>-9000</v>
      </c>
      <c r="R11" s="7">
        <v>90000.0</v>
      </c>
      <c r="S11" s="17">
        <f t="shared" ref="S11:S24" si="6">F11-R11</f>
        <v>22500</v>
      </c>
    </row>
    <row r="12">
      <c r="B12" s="20" t="s">
        <v>57</v>
      </c>
      <c r="C12" s="97"/>
      <c r="D12" s="97">
        <v>142950.0</v>
      </c>
      <c r="E12" s="97">
        <v>142950.0</v>
      </c>
      <c r="F12" s="97">
        <v>119125.0</v>
      </c>
      <c r="G12" s="98"/>
      <c r="L12" s="7">
        <v>95300.0</v>
      </c>
      <c r="M12" s="17">
        <f t="shared" si="4"/>
        <v>47650</v>
      </c>
      <c r="O12" s="7">
        <v>190600.0</v>
      </c>
      <c r="P12" s="17">
        <f t="shared" si="5"/>
        <v>-47650</v>
      </c>
      <c r="R12" s="7">
        <v>119125.0</v>
      </c>
      <c r="S12" s="17">
        <f t="shared" si="6"/>
        <v>0</v>
      </c>
    </row>
    <row r="13">
      <c r="B13" s="87" t="s">
        <v>99</v>
      </c>
      <c r="C13" s="88"/>
      <c r="D13" s="88">
        <f t="shared" ref="D13:F13" si="7">SUM(D5:D12)</f>
        <v>796680</v>
      </c>
      <c r="E13" s="88">
        <f t="shared" si="7"/>
        <v>796680</v>
      </c>
      <c r="F13" s="88">
        <f t="shared" si="7"/>
        <v>2202900</v>
      </c>
      <c r="G13" s="88"/>
      <c r="H13" s="88"/>
      <c r="I13" s="88"/>
      <c r="J13" s="88"/>
      <c r="K13" s="88"/>
      <c r="L13" s="88">
        <f>SUM(L5:L12)</f>
        <v>526760</v>
      </c>
      <c r="M13" s="88">
        <f t="shared" si="4"/>
        <v>269920</v>
      </c>
      <c r="N13" s="88"/>
      <c r="O13" s="88">
        <f>SUM(O5:O12)</f>
        <v>1062240</v>
      </c>
      <c r="P13" s="88">
        <f t="shared" si="5"/>
        <v>-265560</v>
      </c>
      <c r="Q13" s="88"/>
      <c r="R13" s="88">
        <f>SUM(R5:R12)</f>
        <v>663900</v>
      </c>
      <c r="S13" s="88">
        <f t="shared" si="6"/>
        <v>1539000</v>
      </c>
    </row>
    <row r="14">
      <c r="A14" s="7" t="s">
        <v>32</v>
      </c>
      <c r="B14" s="20" t="s">
        <v>30</v>
      </c>
      <c r="D14" s="7">
        <v>2289.0</v>
      </c>
      <c r="E14" s="7">
        <v>2289.0</v>
      </c>
      <c r="F14" s="7">
        <v>2289.0</v>
      </c>
      <c r="G14" s="32"/>
      <c r="L14" s="7">
        <v>0.0</v>
      </c>
      <c r="M14" s="17">
        <f t="shared" si="4"/>
        <v>2289</v>
      </c>
      <c r="O14" s="7">
        <v>2289.0</v>
      </c>
      <c r="P14" s="17">
        <f t="shared" si="5"/>
        <v>0</v>
      </c>
      <c r="R14" s="7">
        <v>4195.0</v>
      </c>
      <c r="S14" s="17">
        <f t="shared" si="6"/>
        <v>-1906</v>
      </c>
    </row>
    <row r="15">
      <c r="B15" s="20" t="s">
        <v>43</v>
      </c>
      <c r="D15" s="7">
        <v>37500.0</v>
      </c>
      <c r="E15" s="7">
        <v>37500.0</v>
      </c>
      <c r="F15" s="7">
        <v>37500.0</v>
      </c>
      <c r="G15" s="32"/>
      <c r="L15" s="7">
        <v>0.0</v>
      </c>
      <c r="M15" s="17">
        <f t="shared" si="4"/>
        <v>37500</v>
      </c>
      <c r="O15" s="7">
        <v>56305.0</v>
      </c>
      <c r="P15" s="17">
        <f t="shared" si="5"/>
        <v>-18805</v>
      </c>
      <c r="R15" s="7">
        <v>58060.0</v>
      </c>
      <c r="S15" s="17">
        <f t="shared" si="6"/>
        <v>-20560</v>
      </c>
    </row>
    <row r="16">
      <c r="B16" s="7" t="s">
        <v>44</v>
      </c>
      <c r="D16" s="7">
        <v>7356.0</v>
      </c>
      <c r="E16" s="7">
        <v>7356.0</v>
      </c>
      <c r="F16" s="7">
        <v>7356.0</v>
      </c>
      <c r="G16" s="32"/>
      <c r="L16" s="41">
        <v>0.0</v>
      </c>
      <c r="M16" s="17">
        <f t="shared" si="4"/>
        <v>7356</v>
      </c>
      <c r="N16" s="2"/>
      <c r="O16" s="41">
        <v>7415.0</v>
      </c>
      <c r="P16" s="17">
        <f t="shared" si="5"/>
        <v>-59</v>
      </c>
      <c r="R16" s="7">
        <v>13920.0</v>
      </c>
      <c r="S16" s="17">
        <f t="shared" si="6"/>
        <v>-6564</v>
      </c>
    </row>
    <row r="17">
      <c r="B17" s="19" t="s">
        <v>50</v>
      </c>
      <c r="D17" s="7">
        <v>30000.0</v>
      </c>
      <c r="E17" s="7">
        <v>0.0</v>
      </c>
      <c r="F17" s="7">
        <v>30000.0</v>
      </c>
      <c r="G17" s="32"/>
      <c r="L17" s="7">
        <v>0.0</v>
      </c>
      <c r="M17" s="17">
        <f t="shared" si="4"/>
        <v>30000</v>
      </c>
      <c r="O17" s="7">
        <v>30300.0</v>
      </c>
      <c r="P17" s="17">
        <f t="shared" si="5"/>
        <v>-30300</v>
      </c>
      <c r="R17" s="7">
        <v>30200.0</v>
      </c>
      <c r="S17" s="17">
        <f t="shared" si="6"/>
        <v>-200</v>
      </c>
    </row>
    <row r="18">
      <c r="B18" s="7" t="s">
        <v>52</v>
      </c>
      <c r="D18" s="7">
        <v>3468.0</v>
      </c>
      <c r="E18" s="7">
        <v>3468.0</v>
      </c>
      <c r="F18" s="7">
        <v>3468.0</v>
      </c>
      <c r="G18" s="32"/>
      <c r="L18" s="7">
        <v>0.0</v>
      </c>
      <c r="M18" s="17">
        <f t="shared" si="4"/>
        <v>3468</v>
      </c>
      <c r="O18" s="7">
        <v>0.0</v>
      </c>
      <c r="P18" s="17">
        <f t="shared" si="5"/>
        <v>3468</v>
      </c>
      <c r="R18" s="7">
        <v>10367.0</v>
      </c>
      <c r="S18" s="17">
        <f t="shared" si="6"/>
        <v>-6899</v>
      </c>
    </row>
    <row r="19">
      <c r="B19" s="19" t="s">
        <v>59</v>
      </c>
      <c r="D19" s="7">
        <v>20000.0</v>
      </c>
      <c r="E19" s="7">
        <v>20000.0</v>
      </c>
      <c r="F19" s="7">
        <v>0.0</v>
      </c>
      <c r="G19" s="32"/>
      <c r="L19" s="7">
        <v>0.0</v>
      </c>
      <c r="M19" s="17">
        <f t="shared" si="4"/>
        <v>20000</v>
      </c>
      <c r="O19" s="7">
        <v>28095.0</v>
      </c>
      <c r="P19" s="17">
        <f t="shared" si="5"/>
        <v>-8095</v>
      </c>
      <c r="R19" s="7">
        <v>12965.0</v>
      </c>
      <c r="S19" s="17">
        <f t="shared" si="6"/>
        <v>-12965</v>
      </c>
    </row>
    <row r="20">
      <c r="B20" s="19" t="s">
        <v>60</v>
      </c>
      <c r="D20" s="7">
        <v>9988.0</v>
      </c>
      <c r="E20" s="7">
        <v>9987.0</v>
      </c>
      <c r="F20" s="7">
        <v>0.0</v>
      </c>
      <c r="G20" s="67"/>
      <c r="L20" s="7">
        <v>0.0</v>
      </c>
      <c r="M20" s="17">
        <f t="shared" si="4"/>
        <v>9988</v>
      </c>
      <c r="O20" s="7">
        <v>10000.0</v>
      </c>
      <c r="P20" s="17">
        <f t="shared" si="5"/>
        <v>-13</v>
      </c>
      <c r="R20" s="7">
        <v>9500.0</v>
      </c>
      <c r="S20" s="17">
        <f t="shared" si="6"/>
        <v>-9500</v>
      </c>
    </row>
    <row r="21">
      <c r="B21" s="65" t="s">
        <v>61</v>
      </c>
      <c r="D21" s="7">
        <v>9000.0</v>
      </c>
      <c r="E21" s="7">
        <v>9000.0</v>
      </c>
      <c r="F21" s="7">
        <v>9000.0</v>
      </c>
      <c r="G21" s="32"/>
      <c r="L21" s="7">
        <v>0.0</v>
      </c>
      <c r="M21" s="17">
        <f t="shared" si="4"/>
        <v>9000</v>
      </c>
      <c r="O21" s="7">
        <v>0.0</v>
      </c>
      <c r="P21" s="17">
        <f t="shared" si="5"/>
        <v>9000</v>
      </c>
      <c r="R21" s="7">
        <v>26690.0</v>
      </c>
      <c r="S21" s="17">
        <f t="shared" si="6"/>
        <v>-17690</v>
      </c>
    </row>
    <row r="22">
      <c r="B22" s="102" t="s">
        <v>64</v>
      </c>
      <c r="D22" s="7">
        <v>1200000.0</v>
      </c>
      <c r="E22" s="7">
        <v>0.0</v>
      </c>
      <c r="F22" s="7">
        <v>0.0</v>
      </c>
      <c r="G22" s="32"/>
      <c r="L22" s="67">
        <v>474027.0</v>
      </c>
      <c r="M22" s="17">
        <f t="shared" si="4"/>
        <v>725973</v>
      </c>
      <c r="O22" s="7">
        <v>767295.0</v>
      </c>
      <c r="P22" s="17">
        <f t="shared" si="5"/>
        <v>-767295</v>
      </c>
      <c r="R22" s="7">
        <v>0.0</v>
      </c>
      <c r="S22" s="17">
        <f t="shared" si="6"/>
        <v>0</v>
      </c>
    </row>
    <row r="23">
      <c r="B23" s="103" t="s">
        <v>66</v>
      </c>
      <c r="D23" s="7">
        <v>667826.0</v>
      </c>
      <c r="E23" s="7">
        <v>0.0</v>
      </c>
      <c r="F23" s="7">
        <v>0.0</v>
      </c>
      <c r="G23" s="32"/>
      <c r="L23" s="7">
        <v>667826.0</v>
      </c>
      <c r="M23" s="17">
        <f t="shared" si="4"/>
        <v>0</v>
      </c>
      <c r="O23" s="7">
        <v>0.0</v>
      </c>
      <c r="P23" s="7">
        <v>0.0</v>
      </c>
      <c r="R23" s="7">
        <v>0.0</v>
      </c>
      <c r="S23" s="17">
        <f t="shared" si="6"/>
        <v>0</v>
      </c>
    </row>
    <row r="24">
      <c r="B24" s="87" t="s">
        <v>94</v>
      </c>
      <c r="C24" s="88"/>
      <c r="D24" s="88">
        <f t="shared" ref="D24:F24" si="8">SUM(D14:D23)</f>
        <v>1987427</v>
      </c>
      <c r="E24" s="88">
        <f t="shared" si="8"/>
        <v>89600</v>
      </c>
      <c r="F24" s="88">
        <f t="shared" si="8"/>
        <v>89613</v>
      </c>
      <c r="G24" s="88"/>
      <c r="H24" s="88"/>
      <c r="I24" s="88"/>
      <c r="J24" s="88"/>
      <c r="K24" s="88"/>
      <c r="L24" s="88">
        <f>SUM(L14:L23)</f>
        <v>1141853</v>
      </c>
      <c r="M24" s="88">
        <f t="shared" si="4"/>
        <v>845574</v>
      </c>
      <c r="N24" s="88"/>
      <c r="O24" s="88">
        <f>SUM(O14:O23)</f>
        <v>901699</v>
      </c>
      <c r="P24" s="88">
        <f>E24-O24</f>
        <v>-812099</v>
      </c>
      <c r="Q24" s="88"/>
      <c r="R24" s="88">
        <f>SUM(R14:R23)</f>
        <v>165897</v>
      </c>
      <c r="S24" s="88">
        <f t="shared" si="6"/>
        <v>-76284</v>
      </c>
    </row>
    <row r="25">
      <c r="G25" s="32"/>
    </row>
    <row r="26">
      <c r="G26" s="32"/>
    </row>
    <row r="27">
      <c r="G27" s="32"/>
    </row>
    <row r="28">
      <c r="G28" s="32"/>
    </row>
    <row r="29">
      <c r="G29" s="32"/>
    </row>
    <row r="30">
      <c r="G30" s="32"/>
    </row>
    <row r="31">
      <c r="G31" s="32"/>
    </row>
    <row r="32">
      <c r="G32" s="32"/>
    </row>
    <row r="33">
      <c r="G33" s="32"/>
    </row>
    <row r="34">
      <c r="G34" s="32"/>
    </row>
    <row r="35">
      <c r="G35" s="32"/>
    </row>
    <row r="36">
      <c r="G36" s="32"/>
    </row>
    <row r="37">
      <c r="G37" s="32"/>
    </row>
    <row r="38">
      <c r="G38" s="32"/>
    </row>
    <row r="39">
      <c r="G39" s="32"/>
    </row>
    <row r="40">
      <c r="G40" s="32"/>
    </row>
    <row r="41">
      <c r="G41" s="32"/>
    </row>
    <row r="42">
      <c r="G42" s="32"/>
    </row>
    <row r="43">
      <c r="G43" s="32"/>
    </row>
    <row r="44">
      <c r="G44" s="32"/>
    </row>
    <row r="45">
      <c r="G45" s="32"/>
    </row>
    <row r="46">
      <c r="G46" s="32"/>
    </row>
    <row r="47">
      <c r="G47" s="32"/>
    </row>
    <row r="48">
      <c r="G48" s="32"/>
    </row>
    <row r="49">
      <c r="G49" s="32"/>
    </row>
    <row r="50">
      <c r="G50" s="32"/>
    </row>
    <row r="51">
      <c r="G51" s="32"/>
    </row>
    <row r="52">
      <c r="G52" s="32"/>
    </row>
    <row r="53">
      <c r="G53" s="32"/>
    </row>
    <row r="54">
      <c r="G54" s="32"/>
    </row>
    <row r="55">
      <c r="G55" s="32"/>
    </row>
    <row r="56">
      <c r="G56" s="32"/>
    </row>
    <row r="57">
      <c r="G57" s="32"/>
    </row>
    <row r="58">
      <c r="G58" s="32"/>
    </row>
    <row r="59">
      <c r="G59" s="32"/>
    </row>
    <row r="60">
      <c r="G60" s="32"/>
    </row>
    <row r="61">
      <c r="G61" s="32"/>
    </row>
    <row r="62">
      <c r="G62" s="32"/>
    </row>
    <row r="63">
      <c r="G63" s="32"/>
    </row>
    <row r="64">
      <c r="G64" s="32"/>
    </row>
    <row r="65">
      <c r="G65" s="32"/>
    </row>
    <row r="66">
      <c r="G66" s="32"/>
    </row>
    <row r="67">
      <c r="G67" s="32"/>
    </row>
    <row r="68">
      <c r="G68" s="32"/>
    </row>
    <row r="69">
      <c r="G69" s="32"/>
    </row>
    <row r="70">
      <c r="G70" s="32"/>
    </row>
    <row r="71">
      <c r="G71" s="32"/>
    </row>
    <row r="72">
      <c r="G72" s="32"/>
    </row>
    <row r="73">
      <c r="G73" s="32"/>
    </row>
    <row r="74">
      <c r="G74" s="32"/>
    </row>
    <row r="75">
      <c r="G75" s="32"/>
    </row>
    <row r="76">
      <c r="G76" s="32"/>
    </row>
    <row r="77">
      <c r="G77" s="32"/>
    </row>
    <row r="78">
      <c r="G78" s="32"/>
    </row>
    <row r="79">
      <c r="G79" s="32"/>
    </row>
    <row r="80">
      <c r="G80" s="32"/>
    </row>
    <row r="81">
      <c r="G81" s="32"/>
    </row>
    <row r="82">
      <c r="G82" s="32"/>
    </row>
    <row r="83">
      <c r="G83" s="32"/>
    </row>
    <row r="84">
      <c r="G84" s="32"/>
    </row>
    <row r="85">
      <c r="G85" s="32"/>
    </row>
    <row r="86">
      <c r="G86" s="32"/>
    </row>
    <row r="87">
      <c r="G87" s="32"/>
    </row>
    <row r="88">
      <c r="G88" s="32"/>
    </row>
    <row r="89">
      <c r="G89" s="32"/>
    </row>
    <row r="90">
      <c r="G90" s="32"/>
    </row>
    <row r="91">
      <c r="G91" s="32"/>
    </row>
    <row r="92">
      <c r="G92" s="32"/>
    </row>
    <row r="93">
      <c r="G93" s="32"/>
    </row>
    <row r="94">
      <c r="G94" s="32"/>
    </row>
    <row r="95">
      <c r="G95" s="32"/>
    </row>
    <row r="96">
      <c r="G96" s="32"/>
    </row>
    <row r="97">
      <c r="G97" s="32"/>
    </row>
    <row r="98">
      <c r="G98" s="32"/>
    </row>
    <row r="99">
      <c r="G99" s="32"/>
    </row>
    <row r="100">
      <c r="G100" s="32"/>
    </row>
    <row r="101">
      <c r="G101" s="32"/>
    </row>
    <row r="102">
      <c r="G102" s="32"/>
    </row>
    <row r="103">
      <c r="G103" s="32"/>
    </row>
    <row r="104">
      <c r="G104" s="32"/>
    </row>
    <row r="105">
      <c r="G105" s="32"/>
    </row>
    <row r="106">
      <c r="G106" s="32"/>
    </row>
    <row r="107">
      <c r="G107" s="32"/>
    </row>
    <row r="108">
      <c r="G108" s="32"/>
    </row>
    <row r="109">
      <c r="G109" s="32"/>
    </row>
    <row r="110">
      <c r="G110" s="32"/>
    </row>
    <row r="111">
      <c r="G111" s="32"/>
    </row>
    <row r="112">
      <c r="G112" s="32"/>
    </row>
    <row r="113">
      <c r="G113" s="32"/>
    </row>
    <row r="114">
      <c r="G114" s="32"/>
    </row>
    <row r="115">
      <c r="G115" s="32"/>
    </row>
    <row r="116">
      <c r="G116" s="32"/>
    </row>
    <row r="117">
      <c r="G117" s="32"/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</sheetData>
  <mergeCells count="4">
    <mergeCell ref="H2:J2"/>
    <mergeCell ref="K2:M2"/>
    <mergeCell ref="N2:P2"/>
    <mergeCell ref="Q2:S2"/>
  </mergeCells>
  <drawing r:id="rId1"/>
</worksheet>
</file>